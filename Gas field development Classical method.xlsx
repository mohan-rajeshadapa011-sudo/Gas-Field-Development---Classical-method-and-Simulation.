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08c1f30db9ff6b/Desktop/"/>
    </mc:Choice>
  </mc:AlternateContent>
  <xr:revisionPtr revIDLastSave="0" documentId="8_{12FE60D3-AD0A-4777-890F-D2178E9D76D4}" xr6:coauthVersionLast="47" xr6:coauthVersionMax="47" xr10:uidLastSave="{00000000-0000-0000-0000-000000000000}"/>
  <bookViews>
    <workbookView xWindow="-108" yWindow="-108" windowWidth="23256" windowHeight="12456" activeTab="1" xr2:uid="{7F7235F3-28ED-4193-AFFE-119AF1734B31}"/>
  </bookViews>
  <sheets>
    <sheet name="Sheet-1 Gas deliverability" sheetId="2" r:id="rId1"/>
    <sheet name="Sheet-2 FTHP Calcul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66" i="3" l="1"/>
  <c r="Y65" i="3"/>
  <c r="Y64" i="3"/>
  <c r="Y63" i="3"/>
  <c r="Y62" i="3"/>
  <c r="Y61" i="3"/>
  <c r="Y60" i="3"/>
  <c r="Y59" i="3"/>
  <c r="Y58" i="3"/>
  <c r="Y57" i="3"/>
  <c r="U56" i="3"/>
  <c r="Y54" i="3"/>
  <c r="Y53" i="3"/>
  <c r="Y52" i="3"/>
  <c r="C52" i="3"/>
  <c r="Y51" i="3"/>
  <c r="Y50" i="3"/>
  <c r="C50" i="3"/>
  <c r="Y49" i="3"/>
  <c r="C49" i="3"/>
  <c r="Y48" i="3"/>
  <c r="C48" i="3"/>
  <c r="Y47" i="3"/>
  <c r="Y46" i="3"/>
  <c r="C46" i="3"/>
  <c r="Y45" i="3"/>
  <c r="C45" i="3"/>
  <c r="Z44" i="3"/>
  <c r="Y44" i="3"/>
  <c r="C44" i="3"/>
  <c r="Y43" i="3"/>
  <c r="C43" i="3"/>
  <c r="C42" i="3"/>
  <c r="C41" i="3"/>
  <c r="N33" i="3"/>
  <c r="N32" i="3"/>
  <c r="N31" i="3"/>
  <c r="N30" i="3"/>
  <c r="N29" i="3"/>
  <c r="N28" i="3"/>
  <c r="N27" i="3"/>
  <c r="N26" i="3"/>
  <c r="N25" i="3"/>
  <c r="C25" i="3"/>
  <c r="C24" i="3"/>
  <c r="D23" i="3"/>
  <c r="H23" i="3" s="1"/>
  <c r="C23" i="3"/>
  <c r="C22" i="3"/>
  <c r="C21" i="3"/>
  <c r="C20" i="3"/>
  <c r="H19" i="3"/>
  <c r="C19" i="3"/>
  <c r="D19" i="3" s="1"/>
  <c r="D18" i="3"/>
  <c r="H18" i="3" s="1"/>
  <c r="C18" i="3"/>
  <c r="C17" i="3"/>
  <c r="C16" i="3"/>
  <c r="O15" i="3"/>
  <c r="C15" i="3"/>
  <c r="D15" i="3" s="1"/>
  <c r="O14" i="3"/>
  <c r="D14" i="3"/>
  <c r="C14" i="3"/>
  <c r="O13" i="3"/>
  <c r="H13" i="3"/>
  <c r="C13" i="3"/>
  <c r="D13" i="3" s="1"/>
  <c r="O12" i="3"/>
  <c r="D12" i="3"/>
  <c r="C12" i="3"/>
  <c r="O11" i="3"/>
  <c r="H11" i="3"/>
  <c r="C11" i="3"/>
  <c r="D11" i="3" s="1"/>
  <c r="O10" i="3"/>
  <c r="C10" i="3"/>
  <c r="O9" i="3"/>
  <c r="C9" i="3"/>
  <c r="D9" i="3" s="1"/>
  <c r="H9" i="3" s="1"/>
  <c r="O8" i="3"/>
  <c r="C8" i="3"/>
  <c r="O7" i="3"/>
  <c r="L7" i="3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C7" i="3"/>
  <c r="D7" i="3" s="1"/>
  <c r="H7" i="3" s="1"/>
  <c r="I7" i="3" s="1"/>
  <c r="O6" i="3"/>
  <c r="M6" i="3"/>
  <c r="K6" i="3"/>
  <c r="J6" i="3"/>
  <c r="D6" i="3"/>
  <c r="O5" i="3"/>
  <c r="O3" i="3"/>
  <c r="C3" i="2"/>
  <c r="D3" i="2"/>
  <c r="E3" i="2" s="1"/>
  <c r="F3" i="2" s="1"/>
  <c r="H3" i="2" s="1"/>
  <c r="M3" i="2" s="1"/>
  <c r="K3" i="2"/>
  <c r="L3" i="2" s="1"/>
  <c r="C4" i="2"/>
  <c r="D4" i="2"/>
  <c r="E4" i="2"/>
  <c r="F4" i="2"/>
  <c r="H4" i="2" s="1"/>
  <c r="M4" i="2" s="1"/>
  <c r="K4" i="2"/>
  <c r="L4" i="2" s="1"/>
  <c r="C5" i="2"/>
  <c r="E5" i="2" s="1"/>
  <c r="F5" i="2" s="1"/>
  <c r="H5" i="2" s="1"/>
  <c r="M5" i="2" s="1"/>
  <c r="D5" i="2"/>
  <c r="K5" i="2"/>
  <c r="L5" i="2"/>
  <c r="C34" i="2"/>
  <c r="D34" i="2"/>
  <c r="E34" i="2" s="1"/>
  <c r="F34" i="2" s="1"/>
  <c r="H34" i="2" s="1"/>
  <c r="M34" i="2" s="1"/>
  <c r="K34" i="2"/>
  <c r="L34" i="2"/>
  <c r="C35" i="2"/>
  <c r="D35" i="2"/>
  <c r="E35" i="2"/>
  <c r="F35" i="2"/>
  <c r="H35" i="2" s="1"/>
  <c r="M35" i="2" s="1"/>
  <c r="K35" i="2"/>
  <c r="L35" i="2" s="1"/>
  <c r="C36" i="2"/>
  <c r="D36" i="2"/>
  <c r="E36" i="2"/>
  <c r="F36" i="2"/>
  <c r="H36" i="2"/>
  <c r="K36" i="2"/>
  <c r="L36" i="2"/>
  <c r="M36" i="2"/>
  <c r="D60" i="2"/>
  <c r="A65" i="2" s="1"/>
  <c r="D61" i="2"/>
  <c r="D16" i="3" l="1"/>
  <c r="E17" i="3"/>
  <c r="H15" i="3"/>
  <c r="H12" i="3"/>
  <c r="D10" i="3"/>
  <c r="J7" i="3"/>
  <c r="K7" i="3" s="1"/>
  <c r="M7" i="3" s="1"/>
  <c r="D8" i="3"/>
  <c r="E8" i="3"/>
  <c r="E22" i="3"/>
  <c r="E24" i="3"/>
  <c r="H14" i="3"/>
  <c r="D17" i="3"/>
  <c r="C40" i="3"/>
  <c r="H6" i="3"/>
  <c r="E20" i="3"/>
  <c r="E21" i="3"/>
  <c r="E23" i="3"/>
  <c r="D25" i="3"/>
  <c r="D24" i="3"/>
  <c r="D22" i="3"/>
  <c r="D21" i="3"/>
  <c r="D20" i="3"/>
  <c r="O28" i="3"/>
  <c r="P28" i="3" s="1"/>
  <c r="Q32" i="3" l="1"/>
  <c r="F24" i="3"/>
  <c r="F20" i="3"/>
  <c r="Q28" i="3"/>
  <c r="H21" i="3"/>
  <c r="G21" i="3"/>
  <c r="G22" i="3"/>
  <c r="H22" i="3"/>
  <c r="H25" i="3"/>
  <c r="G25" i="3"/>
  <c r="H10" i="3"/>
  <c r="G10" i="3"/>
  <c r="F23" i="3"/>
  <c r="Q31" i="3"/>
  <c r="O31" i="3"/>
  <c r="P31" i="3" s="1"/>
  <c r="F22" i="3"/>
  <c r="Q30" i="3"/>
  <c r="O30" i="3"/>
  <c r="P30" i="3" s="1"/>
  <c r="F21" i="3"/>
  <c r="O29" i="3"/>
  <c r="P29" i="3" s="1"/>
  <c r="Q29" i="3"/>
  <c r="G23" i="3"/>
  <c r="H20" i="3"/>
  <c r="G20" i="3"/>
  <c r="R7" i="3"/>
  <c r="F8" i="3"/>
  <c r="H8" i="3"/>
  <c r="I8" i="3" s="1"/>
  <c r="G8" i="3"/>
  <c r="Q25" i="3"/>
  <c r="O25" i="3"/>
  <c r="P25" i="3" s="1"/>
  <c r="F17" i="3"/>
  <c r="E14" i="3"/>
  <c r="E13" i="3"/>
  <c r="E18" i="3"/>
  <c r="E6" i="3"/>
  <c r="E19" i="3"/>
  <c r="E7" i="3"/>
  <c r="E9" i="3"/>
  <c r="E12" i="3"/>
  <c r="E11" i="3"/>
  <c r="E15" i="3"/>
  <c r="P7" i="3"/>
  <c r="Q7" i="3" s="1"/>
  <c r="H16" i="3"/>
  <c r="O32" i="3"/>
  <c r="P32" i="3" s="1"/>
  <c r="H17" i="3"/>
  <c r="G17" i="3"/>
  <c r="Z45" i="3"/>
  <c r="H24" i="3"/>
  <c r="G24" i="3"/>
  <c r="E16" i="3"/>
  <c r="G16" i="3" s="1"/>
  <c r="E25" i="3"/>
  <c r="E10" i="3"/>
  <c r="R10" i="3" l="1"/>
  <c r="P10" i="3"/>
  <c r="Q10" i="3" s="1"/>
  <c r="G11" i="3"/>
  <c r="F11" i="3"/>
  <c r="R11" i="3"/>
  <c r="F12" i="3"/>
  <c r="P11" i="3"/>
  <c r="Q11" i="3" s="1"/>
  <c r="G12" i="3"/>
  <c r="P6" i="3"/>
  <c r="Q6" i="3" s="1"/>
  <c r="F7" i="3"/>
  <c r="R6" i="3"/>
  <c r="G7" i="3"/>
  <c r="T7" i="3"/>
  <c r="U7" i="3" s="1"/>
  <c r="S7" i="3"/>
  <c r="Q27" i="3"/>
  <c r="G19" i="3"/>
  <c r="F19" i="3"/>
  <c r="O27" i="3"/>
  <c r="P27" i="3" s="1"/>
  <c r="F6" i="3"/>
  <c r="R5" i="3"/>
  <c r="P5" i="3"/>
  <c r="Q5" i="3" s="1"/>
  <c r="G6" i="3"/>
  <c r="Q26" i="3"/>
  <c r="F18" i="3"/>
  <c r="G18" i="3"/>
  <c r="O26" i="3"/>
  <c r="P26" i="3" s="1"/>
  <c r="R12" i="3"/>
  <c r="F13" i="3"/>
  <c r="P12" i="3"/>
  <c r="Q12" i="3" s="1"/>
  <c r="G13" i="3"/>
  <c r="S29" i="3"/>
  <c r="T29" i="3" s="1"/>
  <c r="R29" i="3"/>
  <c r="F14" i="3"/>
  <c r="R13" i="3"/>
  <c r="G14" i="3"/>
  <c r="P13" i="3"/>
  <c r="Q13" i="3" s="1"/>
  <c r="R9" i="3"/>
  <c r="F10" i="3"/>
  <c r="P9" i="3"/>
  <c r="Q9" i="3" s="1"/>
  <c r="Q33" i="3"/>
  <c r="F25" i="3"/>
  <c r="O33" i="3"/>
  <c r="P33" i="3" s="1"/>
  <c r="F15" i="3"/>
  <c r="R14" i="3"/>
  <c r="P14" i="3"/>
  <c r="Q14" i="3" s="1"/>
  <c r="G15" i="3"/>
  <c r="S25" i="3"/>
  <c r="T25" i="3" s="1"/>
  <c r="R25" i="3"/>
  <c r="R30" i="3"/>
  <c r="S30" i="3"/>
  <c r="T30" i="3" s="1"/>
  <c r="S28" i="3"/>
  <c r="T28" i="3" s="1"/>
  <c r="R28" i="3"/>
  <c r="F16" i="3"/>
  <c r="R15" i="3"/>
  <c r="P15" i="3"/>
  <c r="Q15" i="3" s="1"/>
  <c r="J8" i="3"/>
  <c r="K8" i="3" s="1"/>
  <c r="M8" i="3" s="1"/>
  <c r="I9" i="3"/>
  <c r="P8" i="3"/>
  <c r="Q8" i="3" s="1"/>
  <c r="F9" i="3"/>
  <c r="R8" i="3"/>
  <c r="G9" i="3"/>
  <c r="S31" i="3"/>
  <c r="T31" i="3" s="1"/>
  <c r="R31" i="3"/>
  <c r="S32" i="3"/>
  <c r="T32" i="3" s="1"/>
  <c r="R32" i="3"/>
  <c r="T6" i="3" l="1"/>
  <c r="U6" i="3" s="1"/>
  <c r="S6" i="3"/>
  <c r="Z46" i="3"/>
  <c r="Y32" i="3"/>
  <c r="V32" i="3"/>
  <c r="X32" i="3"/>
  <c r="W32" i="3"/>
  <c r="Y28" i="3"/>
  <c r="W28" i="3"/>
  <c r="X28" i="3"/>
  <c r="V28" i="3"/>
  <c r="R33" i="3"/>
  <c r="S33" i="3"/>
  <c r="T33" i="3" s="1"/>
  <c r="S11" i="3"/>
  <c r="T11" i="3"/>
  <c r="U11" i="3" s="1"/>
  <c r="T5" i="3"/>
  <c r="U5" i="3" s="1"/>
  <c r="S5" i="3"/>
  <c r="R27" i="3"/>
  <c r="S27" i="3"/>
  <c r="T27" i="3" s="1"/>
  <c r="S26" i="3"/>
  <c r="T26" i="3" s="1"/>
  <c r="R26" i="3"/>
  <c r="T15" i="3"/>
  <c r="U15" i="3" s="1"/>
  <c r="S15" i="3"/>
  <c r="T13" i="3"/>
  <c r="U13" i="3" s="1"/>
  <c r="S13" i="3"/>
  <c r="T14" i="3"/>
  <c r="U14" i="3" s="1"/>
  <c r="S14" i="3"/>
  <c r="Y29" i="3"/>
  <c r="X29" i="3"/>
  <c r="W29" i="3"/>
  <c r="V29" i="3"/>
  <c r="W31" i="3"/>
  <c r="V31" i="3"/>
  <c r="Y31" i="3"/>
  <c r="X31" i="3"/>
  <c r="T12" i="3"/>
  <c r="U12" i="3" s="1"/>
  <c r="S12" i="3"/>
  <c r="Y30" i="3"/>
  <c r="X30" i="3"/>
  <c r="W30" i="3"/>
  <c r="V30" i="3"/>
  <c r="T9" i="3"/>
  <c r="U9" i="3" s="1"/>
  <c r="S9" i="3"/>
  <c r="X7" i="3"/>
  <c r="W7" i="3"/>
  <c r="I10" i="3"/>
  <c r="J9" i="3"/>
  <c r="K9" i="3" s="1"/>
  <c r="M9" i="3" s="1"/>
  <c r="T8" i="3"/>
  <c r="U8" i="3" s="1"/>
  <c r="S8" i="3"/>
  <c r="W25" i="3"/>
  <c r="V25" i="3"/>
  <c r="X25" i="3"/>
  <c r="Y25" i="3"/>
  <c r="T10" i="3"/>
  <c r="U10" i="3" s="1"/>
  <c r="S10" i="3"/>
  <c r="X8" i="3" l="1"/>
  <c r="W8" i="3"/>
  <c r="Z47" i="3"/>
  <c r="AC29" i="3"/>
  <c r="AD62" i="3"/>
  <c r="J10" i="3"/>
  <c r="K10" i="3" s="1"/>
  <c r="M10" i="3" s="1"/>
  <c r="I11" i="3"/>
  <c r="AB63" i="3"/>
  <c r="AA30" i="3"/>
  <c r="Z29" i="3"/>
  <c r="AB29" i="3" s="1"/>
  <c r="AA62" i="3"/>
  <c r="AC62" i="3" s="1"/>
  <c r="Y27" i="3"/>
  <c r="V27" i="3"/>
  <c r="X27" i="3"/>
  <c r="W27" i="3"/>
  <c r="AB46" i="3"/>
  <c r="Z7" i="3"/>
  <c r="AA46" i="3"/>
  <c r="Y7" i="3"/>
  <c r="AA29" i="3"/>
  <c r="AB62" i="3"/>
  <c r="Z32" i="3"/>
  <c r="AB32" i="3" s="1"/>
  <c r="AA65" i="3"/>
  <c r="AC65" i="3" s="1"/>
  <c r="AB58" i="3"/>
  <c r="AA25" i="3"/>
  <c r="AA64" i="3"/>
  <c r="AC64" i="3" s="1"/>
  <c r="Z31" i="3"/>
  <c r="AB31" i="3" s="1"/>
  <c r="X14" i="3"/>
  <c r="W14" i="3"/>
  <c r="AA31" i="3"/>
  <c r="AC31" i="3" s="1"/>
  <c r="AB64" i="3"/>
  <c r="AD64" i="3" s="1"/>
  <c r="X11" i="3"/>
  <c r="W11" i="3"/>
  <c r="AB65" i="3"/>
  <c r="AD65" i="3" s="1"/>
  <c r="AA32" i="3"/>
  <c r="AC32" i="3" s="1"/>
  <c r="AA58" i="3"/>
  <c r="AC58" i="3" s="1"/>
  <c r="Z25" i="3"/>
  <c r="AB25" i="3" s="1"/>
  <c r="X9" i="3"/>
  <c r="W9" i="3"/>
  <c r="X13" i="3"/>
  <c r="W13" i="3"/>
  <c r="Y33" i="3"/>
  <c r="X33" i="3"/>
  <c r="W33" i="3"/>
  <c r="V33" i="3"/>
  <c r="V26" i="3"/>
  <c r="W26" i="3"/>
  <c r="Y26" i="3"/>
  <c r="X26" i="3"/>
  <c r="AD63" i="3"/>
  <c r="AC30" i="3"/>
  <c r="AA61" i="3"/>
  <c r="Z28" i="3"/>
  <c r="AA63" i="3"/>
  <c r="AC63" i="3" s="1"/>
  <c r="Z30" i="3"/>
  <c r="AB30" i="3" s="1"/>
  <c r="AB61" i="3"/>
  <c r="AD61" i="3" s="1"/>
  <c r="AA28" i="3"/>
  <c r="AC28" i="3" s="1"/>
  <c r="X10" i="3"/>
  <c r="W10" i="3"/>
  <c r="X12" i="3"/>
  <c r="W12" i="3"/>
  <c r="C56" i="3"/>
  <c r="C55" i="3"/>
  <c r="X5" i="3"/>
  <c r="C58" i="3"/>
  <c r="W5" i="3"/>
  <c r="C57" i="3"/>
  <c r="W15" i="3"/>
  <c r="X15" i="3"/>
  <c r="AC61" i="3"/>
  <c r="AB28" i="3"/>
  <c r="AD58" i="3"/>
  <c r="AC25" i="3"/>
  <c r="X6" i="3"/>
  <c r="W6" i="3"/>
  <c r="Z11" i="3" l="1"/>
  <c r="I12" i="3"/>
  <c r="J11" i="3"/>
  <c r="K11" i="3" s="1"/>
  <c r="M11" i="3" s="1"/>
  <c r="AF46" i="3"/>
  <c r="AH46" i="3" s="1"/>
  <c r="AC46" i="3"/>
  <c r="AD46" i="3" s="1"/>
  <c r="AE46" i="3" s="1"/>
  <c r="AG46" i="3" s="1"/>
  <c r="AI46" i="3" s="1"/>
  <c r="AJ46" i="3" s="1"/>
  <c r="AC66" i="3"/>
  <c r="AB33" i="3"/>
  <c r="AB45" i="3"/>
  <c r="Z6" i="3"/>
  <c r="AA66" i="3"/>
  <c r="Z33" i="3"/>
  <c r="AB54" i="3"/>
  <c r="AB51" i="3"/>
  <c r="AB66" i="3"/>
  <c r="AA33" i="3"/>
  <c r="AE63" i="3"/>
  <c r="AD33" i="3"/>
  <c r="AD27" i="3"/>
  <c r="AE58" i="3"/>
  <c r="AE65" i="3"/>
  <c r="AD32" i="3"/>
  <c r="AD26" i="3"/>
  <c r="AE60" i="3"/>
  <c r="AD31" i="3"/>
  <c r="AD25" i="3"/>
  <c r="AE62" i="3"/>
  <c r="AE66" i="3"/>
  <c r="AD30" i="3"/>
  <c r="AD29" i="3"/>
  <c r="AD28" i="3"/>
  <c r="AE64" i="3"/>
  <c r="AE61" i="3"/>
  <c r="AE59" i="3"/>
  <c r="AA59" i="3"/>
  <c r="Z26" i="3"/>
  <c r="AB26" i="3" s="1"/>
  <c r="AB49" i="3"/>
  <c r="Z10" i="3"/>
  <c r="AB59" i="3"/>
  <c r="AD59" i="3" s="1"/>
  <c r="AA26" i="3"/>
  <c r="AC26" i="3" s="1"/>
  <c r="AC59" i="3"/>
  <c r="AA50" i="3"/>
  <c r="AB50" i="3" s="1"/>
  <c r="Y11" i="3"/>
  <c r="Z48" i="3"/>
  <c r="AA52" i="3"/>
  <c r="AB52" i="3" s="1"/>
  <c r="Y13" i="3"/>
  <c r="Z13" i="3" s="1"/>
  <c r="AC33" i="3"/>
  <c r="AD66" i="3"/>
  <c r="Z27" i="3"/>
  <c r="AA60" i="3"/>
  <c r="AC60" i="3" s="1"/>
  <c r="AA54" i="3"/>
  <c r="Y15" i="3"/>
  <c r="Z15" i="3" s="1"/>
  <c r="AB27" i="3"/>
  <c r="AA45" i="3"/>
  <c r="Y6" i="3"/>
  <c r="AA48" i="3"/>
  <c r="AB48" i="3" s="1"/>
  <c r="Y9" i="3"/>
  <c r="Z9" i="3" s="1"/>
  <c r="AA27" i="3"/>
  <c r="AC27" i="3" s="1"/>
  <c r="AB60" i="3"/>
  <c r="AD60" i="3" s="1"/>
  <c r="AA51" i="3"/>
  <c r="Y12" i="3"/>
  <c r="Z12" i="3" s="1"/>
  <c r="AA49" i="3"/>
  <c r="Y10" i="3"/>
  <c r="Z14" i="3"/>
  <c r="Y5" i="3"/>
  <c r="Z5" i="3" s="1"/>
  <c r="AA44" i="3"/>
  <c r="AB44" i="3" s="1"/>
  <c r="AA53" i="3"/>
  <c r="AB53" i="3" s="1"/>
  <c r="Y14" i="3"/>
  <c r="AB47" i="3"/>
  <c r="AA7" i="3"/>
  <c r="AF7" i="3" s="1"/>
  <c r="AB7" i="3"/>
  <c r="AC7" i="3" s="1"/>
  <c r="AD7" i="3" s="1"/>
  <c r="AE7" i="3" s="1"/>
  <c r="AG7" i="3" s="1"/>
  <c r="AH7" i="3" s="1"/>
  <c r="AA47" i="3"/>
  <c r="Y8" i="3"/>
  <c r="Z8" i="3" s="1"/>
  <c r="AA8" i="3" l="1"/>
  <c r="AF8" i="3" s="1"/>
  <c r="AB8" i="3"/>
  <c r="AC8" i="3" s="1"/>
  <c r="AD8" i="3" s="1"/>
  <c r="AE8" i="3" s="1"/>
  <c r="AG8" i="3" s="1"/>
  <c r="AH8" i="3" s="1"/>
  <c r="AA12" i="3"/>
  <c r="AF12" i="3" s="1"/>
  <c r="AB12" i="3"/>
  <c r="AC12" i="3" s="1"/>
  <c r="AD12" i="3" s="1"/>
  <c r="AF48" i="3"/>
  <c r="AH48" i="3" s="1"/>
  <c r="AC48" i="3"/>
  <c r="AD48" i="3" s="1"/>
  <c r="AE48" i="3" s="1"/>
  <c r="AG48" i="3" s="1"/>
  <c r="AI48" i="3" s="1"/>
  <c r="AA13" i="3"/>
  <c r="AF13" i="3" s="1"/>
  <c r="AB13" i="3"/>
  <c r="AC13" i="3" s="1"/>
  <c r="AD13" i="3" s="1"/>
  <c r="AE13" i="3" s="1"/>
  <c r="AG13" i="3" s="1"/>
  <c r="AA9" i="3"/>
  <c r="AF9" i="3" s="1"/>
  <c r="AB9" i="3"/>
  <c r="AC9" i="3" s="1"/>
  <c r="AD9" i="3" s="1"/>
  <c r="AE9" i="3" s="1"/>
  <c r="AG9" i="3" s="1"/>
  <c r="AH9" i="3" s="1"/>
  <c r="AF52" i="3"/>
  <c r="AH52" i="3" s="1"/>
  <c r="AC52" i="3"/>
  <c r="AD52" i="3" s="1"/>
  <c r="AE52" i="3" s="1"/>
  <c r="AG52" i="3" s="1"/>
  <c r="AI52" i="3" s="1"/>
  <c r="AF53" i="3"/>
  <c r="AH53" i="3" s="1"/>
  <c r="AC53" i="3"/>
  <c r="AD53" i="3" s="1"/>
  <c r="AE53" i="3" s="1"/>
  <c r="AG53" i="3" s="1"/>
  <c r="AI53" i="3" s="1"/>
  <c r="AF44" i="3"/>
  <c r="AH44" i="3" s="1"/>
  <c r="AC44" i="3"/>
  <c r="AD44" i="3" s="1"/>
  <c r="AE44" i="3" s="1"/>
  <c r="AF50" i="3"/>
  <c r="AH50" i="3" s="1"/>
  <c r="AC50" i="3"/>
  <c r="AD50" i="3" s="1"/>
  <c r="AE50" i="3" s="1"/>
  <c r="AG50" i="3" s="1"/>
  <c r="AI50" i="3" s="1"/>
  <c r="AA5" i="3"/>
  <c r="AF5" i="3" s="1"/>
  <c r="AB5" i="3"/>
  <c r="AC5" i="3" s="1"/>
  <c r="AD5" i="3" s="1"/>
  <c r="AE5" i="3" s="1"/>
  <c r="AG5" i="3" s="1"/>
  <c r="AH5" i="3" s="1"/>
  <c r="AA15" i="3"/>
  <c r="AF15" i="3" s="1"/>
  <c r="AB15" i="3"/>
  <c r="AC15" i="3" s="1"/>
  <c r="AD15" i="3" s="1"/>
  <c r="AE15" i="3" s="1"/>
  <c r="AG15" i="3" s="1"/>
  <c r="AE30" i="3"/>
  <c r="AF30" i="3" s="1"/>
  <c r="AF45" i="3"/>
  <c r="AH45" i="3" s="1"/>
  <c r="AC45" i="3"/>
  <c r="AD45" i="3" s="1"/>
  <c r="AE45" i="3" s="1"/>
  <c r="AG45" i="3" s="1"/>
  <c r="AI45" i="3" s="1"/>
  <c r="AJ45" i="3" s="1"/>
  <c r="AF49" i="3"/>
  <c r="AH49" i="3" s="1"/>
  <c r="AC49" i="3"/>
  <c r="AD49" i="3" s="1"/>
  <c r="AE49" i="3" s="1"/>
  <c r="AE26" i="3"/>
  <c r="AF26" i="3" s="1"/>
  <c r="AE29" i="3"/>
  <c r="AF29" i="3" s="1"/>
  <c r="AA10" i="3"/>
  <c r="AF10" i="3" s="1"/>
  <c r="AB10" i="3"/>
  <c r="AC10" i="3" s="1"/>
  <c r="AD10" i="3" s="1"/>
  <c r="AE10" i="3" s="1"/>
  <c r="AG10" i="3" s="1"/>
  <c r="AH10" i="3" s="1"/>
  <c r="AF62" i="3"/>
  <c r="AG62" i="3" s="1"/>
  <c r="AF60" i="3"/>
  <c r="AG60" i="3" s="1"/>
  <c r="Z49" i="3"/>
  <c r="AE33" i="3"/>
  <c r="AF33" i="3"/>
  <c r="AF63" i="3"/>
  <c r="AG63" i="3"/>
  <c r="AA14" i="3"/>
  <c r="AF14" i="3" s="1"/>
  <c r="AB14" i="3"/>
  <c r="AC14" i="3" s="1"/>
  <c r="AD14" i="3" s="1"/>
  <c r="AE14" i="3" s="1"/>
  <c r="AG14" i="3" s="1"/>
  <c r="AE25" i="3"/>
  <c r="AF25" i="3" s="1"/>
  <c r="AE31" i="3"/>
  <c r="AF31" i="3" s="1"/>
  <c r="AF51" i="3"/>
  <c r="AH51" i="3" s="1"/>
  <c r="AC51" i="3"/>
  <c r="AD51" i="3" s="1"/>
  <c r="AE51" i="3" s="1"/>
  <c r="AF54" i="3"/>
  <c r="AH54" i="3" s="1"/>
  <c r="AC54" i="3"/>
  <c r="AD54" i="3" s="1"/>
  <c r="AE54" i="3" s="1"/>
  <c r="AG54" i="3" s="1"/>
  <c r="AI54" i="3" s="1"/>
  <c r="AJ48" i="3"/>
  <c r="AF59" i="3"/>
  <c r="AG59" i="3"/>
  <c r="AE32" i="3"/>
  <c r="AF32" i="3" s="1"/>
  <c r="AG61" i="3"/>
  <c r="AF61" i="3"/>
  <c r="AF65" i="3"/>
  <c r="AG65" i="3" s="1"/>
  <c r="J12" i="3"/>
  <c r="K12" i="3" s="1"/>
  <c r="M12" i="3" s="1"/>
  <c r="I13" i="3"/>
  <c r="AA6" i="3"/>
  <c r="AF6" i="3" s="1"/>
  <c r="AB6" i="3"/>
  <c r="AC6" i="3" s="1"/>
  <c r="AD6" i="3" s="1"/>
  <c r="AE6" i="3" s="1"/>
  <c r="AG6" i="3" s="1"/>
  <c r="AH6" i="3" s="1"/>
  <c r="AF66" i="3"/>
  <c r="AG66" i="3" s="1"/>
  <c r="AF47" i="3"/>
  <c r="AH47" i="3" s="1"/>
  <c r="AC47" i="3"/>
  <c r="AD47" i="3" s="1"/>
  <c r="AE47" i="3" s="1"/>
  <c r="AG47" i="3" s="1"/>
  <c r="AI47" i="3" s="1"/>
  <c r="AJ47" i="3" s="1"/>
  <c r="AG64" i="3"/>
  <c r="AF64" i="3"/>
  <c r="AF58" i="3"/>
  <c r="AG58" i="3" s="1"/>
  <c r="AA11" i="3"/>
  <c r="AF11" i="3" s="1"/>
  <c r="AB11" i="3"/>
  <c r="AC11" i="3" s="1"/>
  <c r="AD11" i="3" s="1"/>
  <c r="AE28" i="3"/>
  <c r="AF28" i="3" s="1"/>
  <c r="AE27" i="3"/>
  <c r="AF27" i="3"/>
  <c r="AG30" i="3" l="1"/>
  <c r="AL30" i="3" s="1"/>
  <c r="AH30" i="3"/>
  <c r="AI30" i="3" s="1"/>
  <c r="AJ30" i="3" s="1"/>
  <c r="AK30" i="3" s="1"/>
  <c r="AM30" i="3" s="1"/>
  <c r="AG31" i="3"/>
  <c r="AL31" i="3" s="1"/>
  <c r="AH31" i="3"/>
  <c r="AI31" i="3" s="1"/>
  <c r="AJ31" i="3" s="1"/>
  <c r="AK31" i="3" s="1"/>
  <c r="AM31" i="3" s="1"/>
  <c r="AK65" i="3"/>
  <c r="AM65" i="3" s="1"/>
  <c r="AH65" i="3"/>
  <c r="AI65" i="3" s="1"/>
  <c r="AJ65" i="3" s="1"/>
  <c r="AL65" i="3" s="1"/>
  <c r="AN65" i="3" s="1"/>
  <c r="AG26" i="3"/>
  <c r="AL26" i="3" s="1"/>
  <c r="AH26" i="3"/>
  <c r="AI26" i="3" s="1"/>
  <c r="AJ26" i="3" s="1"/>
  <c r="AK26" i="3" s="1"/>
  <c r="AM26" i="3" s="1"/>
  <c r="AK66" i="3"/>
  <c r="AM66" i="3" s="1"/>
  <c r="AH66" i="3"/>
  <c r="AI66" i="3" s="1"/>
  <c r="AJ66" i="3" s="1"/>
  <c r="AL66" i="3" s="1"/>
  <c r="AN66" i="3" s="1"/>
  <c r="AK60" i="3"/>
  <c r="AM60" i="3" s="1"/>
  <c r="AH60" i="3"/>
  <c r="AI60" i="3" s="1"/>
  <c r="AJ60" i="3" s="1"/>
  <c r="AL60" i="3" s="1"/>
  <c r="AN60" i="3" s="1"/>
  <c r="AK62" i="3"/>
  <c r="AM62" i="3" s="1"/>
  <c r="AH62" i="3"/>
  <c r="AI62" i="3" s="1"/>
  <c r="AJ62" i="3" s="1"/>
  <c r="AL62" i="3" s="1"/>
  <c r="AN62" i="3" s="1"/>
  <c r="AG28" i="3"/>
  <c r="AL28" i="3" s="1"/>
  <c r="AH28" i="3"/>
  <c r="AI28" i="3" s="1"/>
  <c r="AJ28" i="3" s="1"/>
  <c r="AK28" i="3" s="1"/>
  <c r="AM28" i="3" s="1"/>
  <c r="AG25" i="3"/>
  <c r="AL25" i="3" s="1"/>
  <c r="AH25" i="3"/>
  <c r="AI25" i="3" s="1"/>
  <c r="AJ25" i="3" s="1"/>
  <c r="AK25" i="3" s="1"/>
  <c r="AM25" i="3" s="1"/>
  <c r="AG29" i="3"/>
  <c r="AL29" i="3" s="1"/>
  <c r="AH29" i="3"/>
  <c r="AI29" i="3" s="1"/>
  <c r="AJ29" i="3" s="1"/>
  <c r="AK29" i="3" s="1"/>
  <c r="AM29" i="3" s="1"/>
  <c r="AK58" i="3"/>
  <c r="AM58" i="3" s="1"/>
  <c r="AH58" i="3"/>
  <c r="AI58" i="3" s="1"/>
  <c r="AJ58" i="3" s="1"/>
  <c r="AL58" i="3" s="1"/>
  <c r="AN58" i="3" s="1"/>
  <c r="AG32" i="3"/>
  <c r="AL32" i="3" s="1"/>
  <c r="AH32" i="3"/>
  <c r="AI32" i="3" s="1"/>
  <c r="AJ32" i="3" s="1"/>
  <c r="AK32" i="3" s="1"/>
  <c r="AM32" i="3" s="1"/>
  <c r="AK64" i="3"/>
  <c r="AM64" i="3" s="1"/>
  <c r="AH64" i="3"/>
  <c r="AI64" i="3" s="1"/>
  <c r="AJ64" i="3" s="1"/>
  <c r="AL64" i="3" s="1"/>
  <c r="AN64" i="3" s="1"/>
  <c r="AK59" i="3"/>
  <c r="AM59" i="3" s="1"/>
  <c r="AH59" i="3"/>
  <c r="AI59" i="3" s="1"/>
  <c r="AJ59" i="3" s="1"/>
  <c r="AL59" i="3" s="1"/>
  <c r="AN59" i="3" s="1"/>
  <c r="AG33" i="3"/>
  <c r="AL33" i="3" s="1"/>
  <c r="AH33" i="3"/>
  <c r="AI33" i="3" s="1"/>
  <c r="AJ33" i="3" s="1"/>
  <c r="AK33" i="3" s="1"/>
  <c r="AM33" i="3" s="1"/>
  <c r="AE11" i="3"/>
  <c r="AG11" i="3" s="1"/>
  <c r="AH11" i="3" s="1"/>
  <c r="I14" i="3"/>
  <c r="J13" i="3"/>
  <c r="K13" i="3" s="1"/>
  <c r="M13" i="3" s="1"/>
  <c r="AG27" i="3"/>
  <c r="AL27" i="3" s="1"/>
  <c r="AH27" i="3"/>
  <c r="AI27" i="3" s="1"/>
  <c r="AJ27" i="3" s="1"/>
  <c r="AK27" i="3" s="1"/>
  <c r="AM27" i="3" s="1"/>
  <c r="AK63" i="3"/>
  <c r="AM63" i="3" s="1"/>
  <c r="AH63" i="3"/>
  <c r="AI63" i="3" s="1"/>
  <c r="AJ63" i="3" s="1"/>
  <c r="Z50" i="3"/>
  <c r="AJ50" i="3" s="1"/>
  <c r="AG51" i="3"/>
  <c r="AI51" i="3" s="1"/>
  <c r="AG49" i="3"/>
  <c r="AI49" i="3" s="1"/>
  <c r="AG44" i="3"/>
  <c r="AI44" i="3" s="1"/>
  <c r="AJ44" i="3" s="1"/>
  <c r="AE12" i="3"/>
  <c r="AG12" i="3" s="1"/>
  <c r="AK61" i="3"/>
  <c r="AM61" i="3" s="1"/>
  <c r="AH61" i="3"/>
  <c r="AI61" i="3" s="1"/>
  <c r="AJ61" i="3" s="1"/>
  <c r="AL61" i="3" s="1"/>
  <c r="AN61" i="3" s="1"/>
  <c r="AJ49" i="3"/>
  <c r="Z51" i="3" l="1"/>
  <c r="AJ51" i="3" s="1"/>
  <c r="AH12" i="3"/>
  <c r="J14" i="3"/>
  <c r="K14" i="3" s="1"/>
  <c r="M14" i="3" s="1"/>
  <c r="I15" i="3"/>
  <c r="AL63" i="3"/>
  <c r="AN63" i="3" s="1"/>
  <c r="I16" i="3" l="1"/>
  <c r="J15" i="3"/>
  <c r="K15" i="3" s="1"/>
  <c r="M15" i="3" s="1"/>
  <c r="Z52" i="3"/>
  <c r="AJ52" i="3" s="1"/>
  <c r="AH13" i="3"/>
  <c r="J16" i="3" l="1"/>
  <c r="K16" i="3" s="1"/>
  <c r="M16" i="3" s="1"/>
  <c r="I17" i="3"/>
  <c r="Z53" i="3"/>
  <c r="AJ53" i="3" s="1"/>
  <c r="AH14" i="3"/>
  <c r="J17" i="3" l="1"/>
  <c r="K17" i="3" s="1"/>
  <c r="M17" i="3" s="1"/>
  <c r="I18" i="3"/>
  <c r="Z54" i="3"/>
  <c r="AJ54" i="3" s="1"/>
  <c r="AH15" i="3"/>
  <c r="J18" i="3" l="1"/>
  <c r="K18" i="3" s="1"/>
  <c r="M18" i="3" s="1"/>
  <c r="I19" i="3"/>
  <c r="Z58" i="3"/>
  <c r="AO58" i="3" s="1"/>
  <c r="AN25" i="3"/>
  <c r="Z59" i="3" l="1"/>
  <c r="AO59" i="3" s="1"/>
  <c r="AN26" i="3"/>
  <c r="J19" i="3"/>
  <c r="K19" i="3" s="1"/>
  <c r="M19" i="3" s="1"/>
  <c r="I20" i="3"/>
  <c r="J20" i="3" l="1"/>
  <c r="K20" i="3" s="1"/>
  <c r="M20" i="3" s="1"/>
  <c r="I21" i="3"/>
  <c r="AN27" i="3"/>
  <c r="Z60" i="3"/>
  <c r="AO60" i="3" s="1"/>
  <c r="I22" i="3" l="1"/>
  <c r="J21" i="3"/>
  <c r="K21" i="3" s="1"/>
  <c r="M21" i="3" s="1"/>
  <c r="AN28" i="3"/>
  <c r="Z61" i="3"/>
  <c r="AO61" i="3" s="1"/>
  <c r="Z62" i="3" l="1"/>
  <c r="AO62" i="3" s="1"/>
  <c r="AN29" i="3"/>
  <c r="J22" i="3"/>
  <c r="K22" i="3" s="1"/>
  <c r="M22" i="3" s="1"/>
  <c r="I23" i="3"/>
  <c r="I24" i="3" l="1"/>
  <c r="J23" i="3"/>
  <c r="K23" i="3" s="1"/>
  <c r="M23" i="3" s="1"/>
  <c r="Z63" i="3"/>
  <c r="AO63" i="3" s="1"/>
  <c r="AN30" i="3"/>
  <c r="Z64" i="3" l="1"/>
  <c r="AO64" i="3" s="1"/>
  <c r="AN31" i="3"/>
  <c r="I25" i="3"/>
  <c r="J25" i="3" s="1"/>
  <c r="K25" i="3" s="1"/>
  <c r="M25" i="3" s="1"/>
  <c r="J24" i="3"/>
  <c r="K24" i="3" s="1"/>
  <c r="M24" i="3" s="1"/>
  <c r="AN32" i="3" l="1"/>
  <c r="Z65" i="3"/>
  <c r="AO65" i="3" s="1"/>
  <c r="Z66" i="3"/>
  <c r="AO66" i="3" s="1"/>
  <c r="AN33" i="3"/>
</calcChain>
</file>

<file path=xl/sharedStrings.xml><?xml version="1.0" encoding="utf-8"?>
<sst xmlns="http://schemas.openxmlformats.org/spreadsheetml/2006/main" count="221" uniqueCount="132">
  <si>
    <t>AVG AOF</t>
  </si>
  <si>
    <t>well-2</t>
  </si>
  <si>
    <t>well-1</t>
  </si>
  <si>
    <t>log(q)</t>
  </si>
  <si>
    <t>AOF (m3/day)</t>
  </si>
  <si>
    <t>n</t>
  </si>
  <si>
    <t>logc</t>
  </si>
  <si>
    <t>well</t>
  </si>
  <si>
    <t>logq</t>
  </si>
  <si>
    <t>log(pr2-pwf2)</t>
  </si>
  <si>
    <t>pr2-pwf2</t>
  </si>
  <si>
    <t>pwf</t>
  </si>
  <si>
    <t>p res</t>
  </si>
  <si>
    <t>Total Gas rate  (m3/day)</t>
  </si>
  <si>
    <t>Gas(m3/day)</t>
  </si>
  <si>
    <t>COND Veq(m3/day)</t>
  </si>
  <si>
    <t xml:space="preserve">COND Veq(m3/stb) </t>
  </si>
  <si>
    <t>sp.gr</t>
  </si>
  <si>
    <t>Mo</t>
  </si>
  <si>
    <t>API</t>
  </si>
  <si>
    <t>COND (bbl/day)</t>
  </si>
  <si>
    <t>WELL-2</t>
  </si>
  <si>
    <t>gas(m3/day)</t>
  </si>
  <si>
    <t>cond Veq(m3/day)</t>
  </si>
  <si>
    <t xml:space="preserve">cond Veq(m3/stb) </t>
  </si>
  <si>
    <t>Api</t>
  </si>
  <si>
    <t>cond (bbl/day)</t>
  </si>
  <si>
    <t>Performance Prediction</t>
  </si>
  <si>
    <t>YEAR</t>
  </si>
  <si>
    <t>GAS RATE</t>
  </si>
  <si>
    <t xml:space="preserve">ANNUAL </t>
  </si>
  <si>
    <t>COND RATE</t>
  </si>
  <si>
    <t>ANNUAL GAS  PROD</t>
  </si>
  <si>
    <t xml:space="preserve">TOTAL GAS PROD </t>
  </si>
  <si>
    <t xml:space="preserve">CUMULATIVE  </t>
  </si>
  <si>
    <t>RF%</t>
  </si>
  <si>
    <t xml:space="preserve">SBHP </t>
  </si>
  <si>
    <t>DECLINE RATE</t>
  </si>
  <si>
    <t xml:space="preserve">FBHP </t>
  </si>
  <si>
    <t>Qg</t>
  </si>
  <si>
    <t xml:space="preserve">Vsg </t>
  </si>
  <si>
    <t xml:space="preserve">Vsl </t>
  </si>
  <si>
    <t>LAMDA L</t>
  </si>
  <si>
    <t>Vm</t>
  </si>
  <si>
    <t xml:space="preserve">N(Fr) </t>
  </si>
  <si>
    <t>Flow regime</t>
  </si>
  <si>
    <t>Ylo</t>
  </si>
  <si>
    <t>C</t>
  </si>
  <si>
    <t>si</t>
  </si>
  <si>
    <t>Holdup</t>
  </si>
  <si>
    <t xml:space="preserve">density of mix </t>
  </si>
  <si>
    <t>Y</t>
  </si>
  <si>
    <t>S</t>
  </si>
  <si>
    <t>ftp</t>
  </si>
  <si>
    <t xml:space="preserve">Fric grad*MD </t>
  </si>
  <si>
    <t xml:space="preserve">(Delta P )mix </t>
  </si>
  <si>
    <t>(Delta p) tot (psi)</t>
  </si>
  <si>
    <t>FTHP</t>
  </si>
  <si>
    <t>CONDENSATE RATE</t>
  </si>
  <si>
    <t xml:space="preserve"> AT SURFACE</t>
  </si>
  <si>
    <t>FROM 5 WELLS</t>
  </si>
  <si>
    <t>PROD</t>
  </si>
  <si>
    <t>(m/s)</t>
  </si>
  <si>
    <t>froude number</t>
  </si>
  <si>
    <t>(kg/m3)</t>
  </si>
  <si>
    <t>(kg/m.s2)</t>
  </si>
  <si>
    <t>(psi)</t>
  </si>
  <si>
    <t>(MMm3/day)</t>
  </si>
  <si>
    <t>(MMSCM)</t>
  </si>
  <si>
    <t>(Pi=4000PSI)</t>
  </si>
  <si>
    <t>(Pi=4000psi)</t>
  </si>
  <si>
    <t>Intermittent</t>
  </si>
  <si>
    <t>Vsg (m/s)</t>
  </si>
  <si>
    <t>Vsl (m/s)</t>
  </si>
  <si>
    <t>N(Fr) froude number</t>
  </si>
  <si>
    <t>Ylo (intermittent)</t>
  </si>
  <si>
    <t>Ylo (segregated)</t>
  </si>
  <si>
    <t>C (intermittent)</t>
  </si>
  <si>
    <t>C (segregated)</t>
  </si>
  <si>
    <t>si (intermittent)</t>
  </si>
  <si>
    <t>si (segregated)</t>
  </si>
  <si>
    <t>Holdup (intermittent)</t>
  </si>
  <si>
    <t>Holdup (segregated)</t>
  </si>
  <si>
    <t>A</t>
  </si>
  <si>
    <t>B</t>
  </si>
  <si>
    <t>holdup (transition)</t>
  </si>
  <si>
    <t>density of mix (kg/m3)</t>
  </si>
  <si>
    <t>Fric grad*MD (kg/m.s2)</t>
  </si>
  <si>
    <t>(Delta P )mix (psi)</t>
  </si>
  <si>
    <t>FTHP(psi)</t>
  </si>
  <si>
    <t>transition</t>
  </si>
  <si>
    <t>GCR</t>
  </si>
  <si>
    <t>For deviated well 1.5km</t>
  </si>
  <si>
    <t>GCR1</t>
  </si>
  <si>
    <t>GCR2</t>
  </si>
  <si>
    <t>GCR3</t>
  </si>
  <si>
    <t>FBHP (Pi=4000psi)</t>
  </si>
  <si>
    <t>Si</t>
  </si>
  <si>
    <t>x</t>
  </si>
  <si>
    <t>Density of mix</t>
  </si>
  <si>
    <t>fric grad *MD</t>
  </si>
  <si>
    <t>(Delta P)mix(psi)</t>
  </si>
  <si>
    <t>GCR4</t>
  </si>
  <si>
    <t>For segregated flow regime</t>
  </si>
  <si>
    <t>For Intermittent flow regime</t>
  </si>
  <si>
    <t>GCR5</t>
  </si>
  <si>
    <t>a</t>
  </si>
  <si>
    <t>GCR6</t>
  </si>
  <si>
    <t>b</t>
  </si>
  <si>
    <t>c</t>
  </si>
  <si>
    <t>GIIP(MMSCM) 50%</t>
  </si>
  <si>
    <t>d</t>
  </si>
  <si>
    <t>Diameter (m)</t>
  </si>
  <si>
    <t>e</t>
  </si>
  <si>
    <t>area of tubing (m2)</t>
  </si>
  <si>
    <t xml:space="preserve">f </t>
  </si>
  <si>
    <t>g (m/s2)</t>
  </si>
  <si>
    <t>g</t>
  </si>
  <si>
    <t>Bg</t>
  </si>
  <si>
    <t>density of condensate</t>
  </si>
  <si>
    <t>L1</t>
  </si>
  <si>
    <t>L2</t>
  </si>
  <si>
    <t>density of gas at res cond</t>
  </si>
  <si>
    <t>L3</t>
  </si>
  <si>
    <t>Si (intermittent)</t>
  </si>
  <si>
    <t>Si (segregated)</t>
  </si>
  <si>
    <t>Holdup (transition)</t>
  </si>
  <si>
    <t>L4</t>
  </si>
  <si>
    <t xml:space="preserve">assume fn  as </t>
  </si>
  <si>
    <t>For vertical well</t>
  </si>
  <si>
    <t>For Deviated well</t>
  </si>
  <si>
    <t>Fric grad *MD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</si>
</sst>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1" xfId="0" applyFill="1" applyBorder="1"/>
    <xf numFmtId="0" fontId="2" fillId="0" borderId="0" xfId="0" applyFont="1" applyAlignment="1">
      <alignment horizontal="center" vertical="center" readingOrder="1"/>
    </xf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6" borderId="2" xfId="0" applyFill="1" applyBorder="1"/>
    <xf numFmtId="0" fontId="0" fillId="7" borderId="0" xfId="0" applyFill="1"/>
    <xf numFmtId="0" fontId="0" fillId="7" borderId="2" xfId="0" applyFill="1" applyBorder="1"/>
    <xf numFmtId="0" fontId="0" fillId="0" borderId="1" xfId="0" applyBorder="1"/>
    <xf numFmtId="0" fontId="3" fillId="0" borderId="0" xfId="0" applyFont="1"/>
    <xf numFmtId="0" fontId="0" fillId="8" borderId="0" xfId="0" applyFill="1"/>
    <xf numFmtId="0" fontId="0" fillId="9" borderId="0" xfId="0" applyFill="1"/>
    <xf numFmtId="0" fontId="0" fillId="2" borderId="3" xfId="0" applyFill="1" applyBorder="1"/>
    <xf numFmtId="0" fontId="0" fillId="10" borderId="1" xfId="0" applyFill="1" applyBorder="1" applyAlignment="1">
      <alignment horizontal="center"/>
    </xf>
    <xf numFmtId="0" fontId="0" fillId="11" borderId="1" xfId="0" applyFill="1" applyBorder="1"/>
    <xf numFmtId="0" fontId="0" fillId="10" borderId="1" xfId="0" applyFill="1" applyBorder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 well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83449588078644"/>
          <c:y val="0.17232583640060964"/>
          <c:w val="0.7983431375109743"/>
          <c:h val="0.6151703848909668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'Sheet-1 Gas deliverability'!$L$3:$L$5</c:f>
              <c:numCache>
                <c:formatCode>General</c:formatCode>
                <c:ptCount val="3"/>
                <c:pt idx="0">
                  <c:v>5.7740605342814888</c:v>
                </c:pt>
                <c:pt idx="1">
                  <c:v>6.1365223949047794</c:v>
                </c:pt>
                <c:pt idx="2">
                  <c:v>6.4562711157465413</c:v>
                </c:pt>
              </c:numCache>
            </c:numRef>
          </c:xVal>
          <c:yVal>
            <c:numRef>
              <c:f>'Sheet-1 Gas deliverability'!$M$3:$M$5</c:f>
              <c:numCache>
                <c:formatCode>General</c:formatCode>
                <c:ptCount val="3"/>
                <c:pt idx="0">
                  <c:v>5.396468505071482</c:v>
                </c:pt>
                <c:pt idx="1">
                  <c:v>5.5271734182788892</c:v>
                </c:pt>
                <c:pt idx="2">
                  <c:v>5.6481605638399701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10-474A-8AB9-3EE943E4C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299119"/>
        <c:axId val="64586351"/>
      </c:scatterChart>
      <c:valAx>
        <c:axId val="194729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kern="1200" baseline="0">
                    <a:solidFill>
                      <a:sysClr val="window" lastClr="FFFFFF"/>
                    </a:solidFill>
                  </a:rPr>
                  <a:t>log(pr^2-pwf^2)</a:t>
                </a:r>
              </a:p>
            </c:rich>
          </c:tx>
          <c:layout>
            <c:manualLayout>
              <c:xMode val="edge"/>
              <c:yMode val="edge"/>
              <c:x val="0.4203183786975091"/>
              <c:y val="0.866181479885372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86351"/>
        <c:crosses val="autoZero"/>
        <c:crossBetween val="midCat"/>
      </c:valAx>
      <c:valAx>
        <c:axId val="6458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kern="1200" baseline="0">
                    <a:solidFill>
                      <a:sysClr val="window" lastClr="FFFFFF"/>
                    </a:solidFill>
                  </a:rPr>
                  <a:t>log(q)</a:t>
                </a:r>
              </a:p>
            </c:rich>
          </c:tx>
          <c:layout>
            <c:manualLayout>
              <c:xMode val="edge"/>
              <c:yMode val="edge"/>
              <c:x val="2.3322247894507847E-2"/>
              <c:y val="0.387676706907200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29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for well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'Sheet-1 Gas deliverability'!$L$34:$L$36</c:f>
              <c:numCache>
                <c:formatCode>General</c:formatCode>
                <c:ptCount val="3"/>
                <c:pt idx="0">
                  <c:v>5.779506304468609</c:v>
                </c:pt>
                <c:pt idx="1">
                  <c:v>6.2484330805730002</c:v>
                </c:pt>
                <c:pt idx="2">
                  <c:v>6.488550716500443</c:v>
                </c:pt>
              </c:numCache>
            </c:numRef>
          </c:xVal>
          <c:yVal>
            <c:numRef>
              <c:f>'Sheet-1 Gas deliverability'!$M$34:$M$36</c:f>
              <c:numCache>
                <c:formatCode>General</c:formatCode>
                <c:ptCount val="3"/>
                <c:pt idx="0">
                  <c:v>5.3948341457765361</c:v>
                </c:pt>
                <c:pt idx="1">
                  <c:v>5.5140205534957456</c:v>
                </c:pt>
                <c:pt idx="2">
                  <c:v>5.6100409205528265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7F-4147-B100-1413CD625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08319"/>
        <c:axId val="128510719"/>
      </c:scatterChart>
      <c:valAx>
        <c:axId val="12850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kern="1200" baseline="0">
                    <a:solidFill>
                      <a:sysClr val="window" lastClr="FFFFFF"/>
                    </a:solidFill>
                  </a:rPr>
                  <a:t>log(pr^2-pwf^2)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10719"/>
        <c:crosses val="autoZero"/>
        <c:crossBetween val="midCat"/>
      </c:valAx>
      <c:valAx>
        <c:axId val="12851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log(q)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0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338001</xdr:colOff>
      <xdr:row>8</xdr:row>
      <xdr:rowOff>108857</xdr:rowOff>
    </xdr:from>
    <xdr:to>
      <xdr:col>7</xdr:col>
      <xdr:colOff>54427</xdr:colOff>
      <xdr:row>24</xdr:row>
      <xdr:rowOff>41002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0EBB5-89D6-4964-A5BB-D7D3A35EA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383763</xdr:colOff>
      <xdr:row>39</xdr:row>
      <xdr:rowOff>42882</xdr:rowOff>
    </xdr:from>
    <xdr:to>
      <xdr:col>7</xdr:col>
      <xdr:colOff>237344</xdr:colOff>
      <xdr:row>55</xdr:row>
      <xdr:rowOff>162393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C90F9-FEC1-4742-B2F9-B185F4CD9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3031-B47E-4AD0-81FA-E816516669C4}">
  <dimension ref="A2:O65"/>
  <sheetViews>
    <sheetView zoomScale="36" workbookViewId="0">
      <selection activeCell="H47" sqref="H47"/>
    </sheetView>
  </sheetViews>
  <sheetFormatPr defaultRowHeight="14.4" x14ac:dyDescent="0.3"/>
  <cols>
    <col min="1" max="1" width="10.21875" customWidth="1"/>
    <col min="2" max="2" width="6" customWidth="1"/>
    <col min="3" max="3" width="9.88671875" customWidth="1"/>
    <col min="4" max="4" width="7.44140625" customWidth="1"/>
    <col min="5" max="5" width="17.88671875" customWidth="1"/>
    <col min="6" max="6" width="12.77734375" customWidth="1"/>
    <col min="7" max="7" width="10.33203125" customWidth="1"/>
    <col min="8" max="8" width="25.44140625" customWidth="1"/>
    <col min="11" max="11" width="12.6640625" customWidth="1"/>
    <col min="12" max="12" width="16.5546875" customWidth="1"/>
    <col min="13" max="13" width="14" customWidth="1"/>
    <col min="15" max="15" width="14" customWidth="1"/>
  </cols>
  <sheetData>
    <row r="2" spans="1:15" x14ac:dyDescent="0.3">
      <c r="A2" s="4" t="s">
        <v>26</v>
      </c>
      <c r="B2" s="4" t="s">
        <v>25</v>
      </c>
      <c r="C2" s="4" t="s">
        <v>18</v>
      </c>
      <c r="D2" s="4" t="s">
        <v>17</v>
      </c>
      <c r="E2" s="4" t="s">
        <v>24</v>
      </c>
      <c r="F2" s="4" t="s">
        <v>23</v>
      </c>
      <c r="G2" s="4" t="s">
        <v>22</v>
      </c>
      <c r="H2" s="4" t="s">
        <v>13</v>
      </c>
      <c r="I2" s="4" t="s">
        <v>12</v>
      </c>
      <c r="J2" s="4" t="s">
        <v>11</v>
      </c>
      <c r="K2" s="4" t="s">
        <v>10</v>
      </c>
      <c r="L2" s="4" t="s">
        <v>9</v>
      </c>
      <c r="M2" s="4" t="s">
        <v>8</v>
      </c>
      <c r="O2" s="1"/>
    </row>
    <row r="3" spans="1:15" x14ac:dyDescent="0.3">
      <c r="A3" s="5">
        <v>900</v>
      </c>
      <c r="B3" s="5">
        <v>50</v>
      </c>
      <c r="C3" s="5">
        <f>6084/(B3-5.9)</f>
        <v>137.9591836734694</v>
      </c>
      <c r="D3" s="5">
        <f>141.5/(B3+131.5)</f>
        <v>0.77961432506887052</v>
      </c>
      <c r="E3" s="5">
        <f>133000*D3/(35.3147*C3)</f>
        <v>21.282630952238808</v>
      </c>
      <c r="F3" s="5">
        <f>E3*A3</f>
        <v>19154.367857014928</v>
      </c>
      <c r="G3" s="5">
        <v>230000</v>
      </c>
      <c r="H3" s="5">
        <f>G3+F3</f>
        <v>249154.36785701493</v>
      </c>
      <c r="I3" s="5">
        <v>4000</v>
      </c>
      <c r="J3" s="5">
        <v>3925</v>
      </c>
      <c r="K3" s="5">
        <f>(I3^2)-(J3^2)</f>
        <v>594375</v>
      </c>
      <c r="L3" s="5">
        <f>LOG(K3,10)</f>
        <v>5.7740605342814888</v>
      </c>
      <c r="M3" s="5">
        <f>LOG(H3,10)</f>
        <v>5.396468505071482</v>
      </c>
    </row>
    <row r="4" spans="1:15" x14ac:dyDescent="0.3">
      <c r="A4" s="5">
        <v>1000</v>
      </c>
      <c r="B4" s="5">
        <v>51</v>
      </c>
      <c r="C4" s="5">
        <f>6084/(B4-5.9)</f>
        <v>134.90022172949003</v>
      </c>
      <c r="D4" s="5">
        <f>141.5/(B4+131.5)</f>
        <v>0.77534246575342469</v>
      </c>
      <c r="E4" s="5">
        <f>133000*D4/(35.3147*C4)</f>
        <v>21.645968757704299</v>
      </c>
      <c r="F4" s="5">
        <f>E4*A4</f>
        <v>21645.968757704301</v>
      </c>
      <c r="G4" s="5">
        <v>315000</v>
      </c>
      <c r="H4" s="5">
        <f>G4+F4</f>
        <v>336645.96875770431</v>
      </c>
      <c r="I4" s="5">
        <v>4000</v>
      </c>
      <c r="J4" s="5">
        <v>3825</v>
      </c>
      <c r="K4" s="5">
        <f>(I4^2)-(J4^2)</f>
        <v>1369375</v>
      </c>
      <c r="L4" s="5">
        <f>LOG(K4,10)</f>
        <v>6.1365223949047794</v>
      </c>
      <c r="M4" s="5">
        <f>LOG(H4,10)</f>
        <v>5.5271734182788892</v>
      </c>
    </row>
    <row r="5" spans="1:15" x14ac:dyDescent="0.3">
      <c r="A5" s="5">
        <v>1400</v>
      </c>
      <c r="B5" s="5">
        <v>50</v>
      </c>
      <c r="C5" s="5">
        <f>6084/(B5-5.9)</f>
        <v>137.9591836734694</v>
      </c>
      <c r="D5" s="5">
        <f>141.5/(B5+131.5)</f>
        <v>0.77961432506887052</v>
      </c>
      <c r="E5" s="5">
        <f>133000*D5/(35.3147*C5)</f>
        <v>21.282630952238808</v>
      </c>
      <c r="F5" s="5">
        <f>E5*A5</f>
        <v>29795.68333313433</v>
      </c>
      <c r="G5" s="5">
        <v>415000</v>
      </c>
      <c r="H5" s="5">
        <f>G5+F5</f>
        <v>444795.68333313434</v>
      </c>
      <c r="I5" s="5">
        <v>4000</v>
      </c>
      <c r="J5" s="5">
        <v>3625</v>
      </c>
      <c r="K5" s="5">
        <f>(I5^2)-(J5^2)</f>
        <v>2859375</v>
      </c>
      <c r="L5" s="5">
        <f>LOG(K5,10)</f>
        <v>6.4562711157465413</v>
      </c>
      <c r="M5" s="5">
        <f>LOG(H5,10)</f>
        <v>5.6481605638399701</v>
      </c>
    </row>
    <row r="32" spans="1:7" x14ac:dyDescent="0.3">
      <c r="A32" s="7" t="s">
        <v>21</v>
      </c>
      <c r="B32" s="6"/>
      <c r="C32" s="6"/>
      <c r="D32" s="6"/>
      <c r="E32" s="6"/>
      <c r="F32" s="6"/>
      <c r="G32" s="6"/>
    </row>
    <row r="33" spans="1:13" x14ac:dyDescent="0.3">
      <c r="A33" s="4" t="s">
        <v>20</v>
      </c>
      <c r="B33" s="4" t="s">
        <v>19</v>
      </c>
      <c r="C33" s="4" t="s">
        <v>18</v>
      </c>
      <c r="D33" s="4" t="s">
        <v>17</v>
      </c>
      <c r="E33" s="4" t="s">
        <v>16</v>
      </c>
      <c r="F33" s="4" t="s">
        <v>15</v>
      </c>
      <c r="G33" s="4" t="s">
        <v>14</v>
      </c>
      <c r="H33" s="4" t="s">
        <v>13</v>
      </c>
      <c r="I33" s="4" t="s">
        <v>12</v>
      </c>
      <c r="J33" s="4" t="s">
        <v>11</v>
      </c>
      <c r="K33" s="4" t="s">
        <v>10</v>
      </c>
      <c r="L33" s="4" t="s">
        <v>9</v>
      </c>
      <c r="M33" s="4" t="s">
        <v>8</v>
      </c>
    </row>
    <row r="34" spans="1:13" x14ac:dyDescent="0.3">
      <c r="A34" s="5">
        <v>950</v>
      </c>
      <c r="B34" s="5">
        <v>50</v>
      </c>
      <c r="C34" s="5">
        <f>6084/(B34-5.9)</f>
        <v>137.9591836734694</v>
      </c>
      <c r="D34" s="5">
        <f>141.5/(B34+131.5)</f>
        <v>0.77961432506887052</v>
      </c>
      <c r="E34" s="5">
        <f>133000*D34/(35.3147*C34)</f>
        <v>21.282630952238808</v>
      </c>
      <c r="F34" s="5">
        <f>E34*A34</f>
        <v>20218.499404626869</v>
      </c>
      <c r="G34" s="5">
        <v>228000</v>
      </c>
      <c r="H34" s="5">
        <f>G34+F34</f>
        <v>248218.49940462687</v>
      </c>
      <c r="I34" s="5">
        <v>4050</v>
      </c>
      <c r="J34" s="5">
        <v>3975</v>
      </c>
      <c r="K34" s="5">
        <f>(I34^2)-(J34^2)</f>
        <v>601875</v>
      </c>
      <c r="L34" s="5">
        <f>LOG(K34,10)</f>
        <v>5.779506304468609</v>
      </c>
      <c r="M34" s="5">
        <f>LOG(H34,10)</f>
        <v>5.3948341457765361</v>
      </c>
    </row>
    <row r="35" spans="1:13" x14ac:dyDescent="0.3">
      <c r="A35" s="5">
        <v>1250</v>
      </c>
      <c r="B35" s="5">
        <v>50</v>
      </c>
      <c r="C35" s="5">
        <f>6084/(B35-5.9)</f>
        <v>137.9591836734694</v>
      </c>
      <c r="D35" s="5">
        <f>141.5/(B35+131.5)</f>
        <v>0.77961432506887052</v>
      </c>
      <c r="E35" s="5">
        <f>133000*D35/(35.3147*C35)</f>
        <v>21.282630952238808</v>
      </c>
      <c r="F35" s="5">
        <f>E35*A35</f>
        <v>26603.288690298508</v>
      </c>
      <c r="G35" s="5">
        <v>300000</v>
      </c>
      <c r="H35" s="5">
        <f>G35+F35</f>
        <v>326603.2886902985</v>
      </c>
      <c r="I35" s="5">
        <v>4050</v>
      </c>
      <c r="J35" s="5">
        <v>3825</v>
      </c>
      <c r="K35" s="5">
        <f>(I35^2)-(J35^2)</f>
        <v>1771875</v>
      </c>
      <c r="L35" s="5">
        <f>LOG(K35,10)</f>
        <v>6.2484330805730002</v>
      </c>
      <c r="M35" s="5">
        <f>LOG(H35,10)</f>
        <v>5.5140205534957456</v>
      </c>
    </row>
    <row r="36" spans="1:13" x14ac:dyDescent="0.3">
      <c r="A36" s="5">
        <v>1550</v>
      </c>
      <c r="B36" s="5">
        <v>49</v>
      </c>
      <c r="C36" s="5">
        <f>6084/(B36-5.9)</f>
        <v>141.16009280742458</v>
      </c>
      <c r="D36" s="5">
        <f>141.5/(B36+131.5)</f>
        <v>0.78393351800554012</v>
      </c>
      <c r="E36" s="5">
        <f>133000*D36/(35.3147*C36)</f>
        <v>20.915267243111657</v>
      </c>
      <c r="F36" s="5">
        <f>E36*A36</f>
        <v>32418.664226823068</v>
      </c>
      <c r="G36" s="5">
        <v>375000</v>
      </c>
      <c r="H36" s="5">
        <f>G36+F36</f>
        <v>407418.66422682308</v>
      </c>
      <c r="I36" s="5">
        <v>4050</v>
      </c>
      <c r="J36" s="5">
        <v>3650</v>
      </c>
      <c r="K36" s="5">
        <f>(I36^2)-(J36^2)</f>
        <v>3080000</v>
      </c>
      <c r="L36" s="5">
        <f>LOG(K36,10)</f>
        <v>6.488550716500443</v>
      </c>
      <c r="M36" s="5">
        <f>LOG(H36,10)</f>
        <v>5.6100409205528265</v>
      </c>
    </row>
    <row r="59" spans="1:6" x14ac:dyDescent="0.3">
      <c r="A59" s="4" t="s">
        <v>7</v>
      </c>
      <c r="B59" s="4" t="s">
        <v>6</v>
      </c>
      <c r="C59" s="4" t="s">
        <v>5</v>
      </c>
      <c r="D59" s="4" t="s">
        <v>4</v>
      </c>
      <c r="E59" s="1"/>
      <c r="F59" s="3" t="s">
        <v>3</v>
      </c>
    </row>
    <row r="60" spans="1:6" x14ac:dyDescent="0.3">
      <c r="A60" s="2" t="s">
        <v>2</v>
      </c>
      <c r="B60" s="2">
        <v>3.2663000000000002</v>
      </c>
      <c r="C60" s="2">
        <v>0.36880000000000002</v>
      </c>
      <c r="D60" s="2">
        <f>(10^B60)*(((4000)^(2))-(14.7)^((2)))^C60</f>
        <v>837871.24567261839</v>
      </c>
    </row>
    <row r="61" spans="1:6" x14ac:dyDescent="0.3">
      <c r="A61" s="2" t="s">
        <v>1</v>
      </c>
      <c r="B61" s="2">
        <v>3.6747999999999998</v>
      </c>
      <c r="C61" s="2">
        <v>0.29670000000000002</v>
      </c>
      <c r="D61" s="2">
        <f>(10^B61)*(((4000)^(2))-(14.7)^((2)))^C61</f>
        <v>649023.85335524916</v>
      </c>
    </row>
    <row r="64" spans="1:6" x14ac:dyDescent="0.3">
      <c r="A64" s="1" t="s">
        <v>0</v>
      </c>
    </row>
    <row r="65" spans="1:1" x14ac:dyDescent="0.3">
      <c r="A65">
        <f>(D60+D61)/2</f>
        <v>743447.54951393371</v>
      </c>
    </row>
  </sheetData>
  <mergeCells count="1">
    <mergeCell ref="A32:G3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97A8-6E9F-4EF2-A451-BCB6A967BDC1}">
  <dimension ref="A1:BC105"/>
  <sheetViews>
    <sheetView tabSelected="1" topLeftCell="P1" zoomScale="25" zoomScaleNormal="70" workbookViewId="0">
      <selection activeCell="M61" sqref="M61"/>
    </sheetView>
  </sheetViews>
  <sheetFormatPr defaultRowHeight="14.4" x14ac:dyDescent="0.3"/>
  <cols>
    <col min="1" max="1" width="11.33203125" customWidth="1"/>
    <col min="2" max="2" width="10" customWidth="1"/>
    <col min="3" max="3" width="13.109375" customWidth="1"/>
    <col min="4" max="4" width="14.6640625" customWidth="1"/>
    <col min="5" max="5" width="14.77734375" customWidth="1"/>
    <col min="6" max="6" width="16.6640625" customWidth="1"/>
    <col min="7" max="7" width="17" customWidth="1"/>
    <col min="8" max="8" width="15.77734375" customWidth="1"/>
    <col min="9" max="9" width="11.88671875" customWidth="1"/>
    <col min="10" max="10" width="7" customWidth="1"/>
    <col min="11" max="11" width="13.21875" bestFit="1" customWidth="1"/>
    <col min="12" max="12" width="12.88671875" customWidth="1"/>
    <col min="13" max="14" width="17" customWidth="1"/>
    <col min="18" max="18" width="10.44140625" customWidth="1"/>
    <col min="20" max="20" width="8.44140625" customWidth="1"/>
    <col min="21" max="21" width="6.33203125" customWidth="1"/>
    <col min="22" max="22" width="11.33203125" customWidth="1"/>
    <col min="23" max="23" width="9.21875" customWidth="1"/>
    <col min="24" max="24" width="6.77734375" customWidth="1"/>
    <col min="25" max="25" width="8.77734375" customWidth="1"/>
    <col min="26" max="26" width="17.5546875" bestFit="1" customWidth="1"/>
    <col min="27" max="27" width="16.33203125" customWidth="1"/>
    <col min="28" max="28" width="11.88671875" customWidth="1"/>
    <col min="29" max="29" width="10.33203125" customWidth="1"/>
    <col min="30" max="30" width="11.109375" customWidth="1"/>
    <col min="31" max="31" width="13.6640625" customWidth="1"/>
    <col min="32" max="32" width="19.5546875" customWidth="1"/>
    <col min="33" max="33" width="22" customWidth="1"/>
    <col min="34" max="34" width="16.88671875" customWidth="1"/>
    <col min="35" max="35" width="20.77734375" customWidth="1"/>
    <col min="36" max="36" width="15.6640625" customWidth="1"/>
    <col min="37" max="37" width="22.5546875" customWidth="1"/>
    <col min="38" max="38" width="14.5546875" customWidth="1"/>
    <col min="39" max="39" width="14.77734375" customWidth="1"/>
    <col min="40" max="40" width="14.109375" customWidth="1"/>
  </cols>
  <sheetData>
    <row r="1" spans="1:55" ht="25.8" x14ac:dyDescent="0.5">
      <c r="A1" s="8"/>
      <c r="C1" s="9" t="s">
        <v>27</v>
      </c>
    </row>
    <row r="3" spans="1:55" x14ac:dyDescent="0.3">
      <c r="B3" s="10" t="s">
        <v>28</v>
      </c>
      <c r="C3" s="10" t="s">
        <v>29</v>
      </c>
      <c r="D3" s="4" t="s">
        <v>30</v>
      </c>
      <c r="E3" s="4" t="s">
        <v>31</v>
      </c>
      <c r="F3" s="4" t="s">
        <v>30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  <c r="N3" s="1"/>
      <c r="O3" s="11" t="str">
        <f>B3</f>
        <v>YEAR</v>
      </c>
      <c r="P3" s="11" t="s">
        <v>39</v>
      </c>
      <c r="Q3" s="11" t="s">
        <v>40</v>
      </c>
      <c r="R3" s="11" t="s">
        <v>41</v>
      </c>
      <c r="S3" s="11" t="s">
        <v>42</v>
      </c>
      <c r="T3" s="11" t="s">
        <v>43</v>
      </c>
      <c r="U3" s="11" t="s">
        <v>44</v>
      </c>
      <c r="V3" s="11" t="s">
        <v>45</v>
      </c>
      <c r="W3" s="11" t="s">
        <v>46</v>
      </c>
      <c r="X3" s="11" t="s">
        <v>47</v>
      </c>
      <c r="Y3" s="11" t="s">
        <v>48</v>
      </c>
      <c r="Z3" s="11" t="s">
        <v>49</v>
      </c>
      <c r="AA3" s="11" t="s">
        <v>50</v>
      </c>
      <c r="AB3" s="11" t="s">
        <v>51</v>
      </c>
      <c r="AC3" s="11" t="s">
        <v>52</v>
      </c>
      <c r="AD3" s="11" t="s">
        <v>53</v>
      </c>
      <c r="AE3" s="11" t="s">
        <v>54</v>
      </c>
      <c r="AF3" s="11" t="s">
        <v>55</v>
      </c>
      <c r="AG3" s="11" t="s">
        <v>56</v>
      </c>
      <c r="AH3" s="12" t="s">
        <v>57</v>
      </c>
    </row>
    <row r="4" spans="1:55" x14ac:dyDescent="0.3">
      <c r="B4" s="10"/>
      <c r="C4" s="10"/>
      <c r="D4" s="4" t="s">
        <v>29</v>
      </c>
      <c r="E4" s="4"/>
      <c r="F4" s="4" t="s">
        <v>58</v>
      </c>
      <c r="G4" s="4" t="s">
        <v>59</v>
      </c>
      <c r="H4" s="4" t="s">
        <v>60</v>
      </c>
      <c r="I4" s="4" t="s">
        <v>61</v>
      </c>
      <c r="J4" s="4"/>
      <c r="K4" s="4"/>
      <c r="L4" s="4"/>
      <c r="M4" s="4"/>
      <c r="O4" s="11"/>
      <c r="P4" s="11"/>
      <c r="Q4" s="11" t="s">
        <v>62</v>
      </c>
      <c r="R4" s="11" t="s">
        <v>62</v>
      </c>
      <c r="S4" s="11"/>
      <c r="T4" s="11"/>
      <c r="U4" s="11" t="s">
        <v>63</v>
      </c>
      <c r="V4" s="11"/>
      <c r="W4" s="11"/>
      <c r="X4" s="11"/>
      <c r="Y4" s="11"/>
      <c r="Z4" s="11"/>
      <c r="AA4" s="11" t="s">
        <v>64</v>
      </c>
      <c r="AB4" s="11"/>
      <c r="AC4" s="11"/>
      <c r="AD4" s="11"/>
      <c r="AE4" s="11" t="s">
        <v>65</v>
      </c>
      <c r="AF4" s="11" t="s">
        <v>66</v>
      </c>
      <c r="AG4" s="11" t="s">
        <v>66</v>
      </c>
      <c r="AH4" s="12" t="s">
        <v>66</v>
      </c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</row>
    <row r="5" spans="1:55" x14ac:dyDescent="0.3">
      <c r="B5" s="10"/>
      <c r="C5" s="10" t="s">
        <v>67</v>
      </c>
      <c r="D5" s="4" t="s">
        <v>68</v>
      </c>
      <c r="E5" s="4" t="s">
        <v>67</v>
      </c>
      <c r="F5" s="4" t="s">
        <v>68</v>
      </c>
      <c r="G5" s="4" t="s">
        <v>68</v>
      </c>
      <c r="H5" s="4"/>
      <c r="I5" s="4"/>
      <c r="J5" s="4"/>
      <c r="K5" s="4" t="s">
        <v>69</v>
      </c>
      <c r="L5" s="4"/>
      <c r="M5" s="4" t="s">
        <v>70</v>
      </c>
      <c r="O5" s="14">
        <f t="shared" ref="O5:O15" si="0">B6</f>
        <v>1</v>
      </c>
      <c r="P5" s="14">
        <f t="shared" ref="P5:P15" si="1">(C6-E6)</f>
        <v>0.17489493719577784</v>
      </c>
      <c r="Q5" s="14">
        <f t="shared" ref="Q5:Q15" si="2">P5*$C$52*(10^6)/($C$50*86400)</f>
        <v>3.051248960111784</v>
      </c>
      <c r="R5" s="14">
        <f t="shared" ref="R5:R15" si="3">E6*(10^6)/($C$50*86400)</f>
        <v>0.40275650118191075</v>
      </c>
      <c r="S5" s="14">
        <f>R5/(R5+Q5)</f>
        <v>0.11660563531102774</v>
      </c>
      <c r="T5" s="14">
        <f>R5+Q5</f>
        <v>3.4540054612936948</v>
      </c>
      <c r="U5" s="14">
        <f t="shared" ref="U5:U15" si="4">((T5)^2)/($C$51*$C$49)</f>
        <v>19.614422975504787</v>
      </c>
      <c r="V5" s="14" t="s">
        <v>71</v>
      </c>
      <c r="W5" s="14">
        <f t="shared" ref="W5:W15" si="5">($V$45*(S5^$V$46))/(U5^$V$47)</f>
        <v>0.25415389964792501</v>
      </c>
      <c r="X5" s="14">
        <f t="shared" ref="X5:X15" si="6">(1-S5)*LN($V$48*(S5^$V$49)*(3^$V$50)*(U5^$V$51))</f>
        <v>0.20267419493655509</v>
      </c>
      <c r="Y5" s="14">
        <f>1+X5*(SIN(RADIANS(162))-0.333*(SIN(RADIANS(162)))^3)</f>
        <v>1.0606382271232073</v>
      </c>
      <c r="Z5" s="14">
        <f t="shared" ref="Z5:Z15" si="7">W5*Y5</f>
        <v>0.26956534153902473</v>
      </c>
      <c r="AA5" s="14">
        <f t="shared" ref="AA5:AA15" si="8">((Z5*$U$53)+((1-Z5)*$U$56))</f>
        <v>347.78550561571495</v>
      </c>
      <c r="AB5" s="14">
        <f t="shared" ref="AB5:AB15" si="9">(S5/((Z5)^2))</f>
        <v>1.6046910578131341</v>
      </c>
      <c r="AC5" s="14">
        <f>(LN(AB5)/(-0.0523+(3.182*LN(AB5))-(0.8725*((AB5)^2))+(0.01853*(LN(AB5)^4))))</f>
        <v>-0.5962151834506596</v>
      </c>
      <c r="AD5" s="14">
        <f t="shared" ref="AD5:AD15" si="10">$U$59*(EXP(AC5))</f>
        <v>8.8142835718248071E-3</v>
      </c>
      <c r="AE5" s="14">
        <f t="shared" ref="AE5:AE15" si="11">2*AD5*AA5*(T5^2)*1990/(($C$49)*6894.76)</f>
        <v>340.49203667377134</v>
      </c>
      <c r="AF5" s="14">
        <f>AA5*9.81*1990/6894.76</f>
        <v>984.72374122948816</v>
      </c>
      <c r="AG5" s="14">
        <f>(AE5+AF5)</f>
        <v>1325.2157779032595</v>
      </c>
      <c r="AH5" s="14">
        <f t="shared" ref="AH5:AH15" si="12">M6-AG5</f>
        <v>2250.3069773242928</v>
      </c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</row>
    <row r="6" spans="1:55" x14ac:dyDescent="0.3">
      <c r="B6" s="15">
        <v>1</v>
      </c>
      <c r="C6" s="15">
        <v>0.17499999999999999</v>
      </c>
      <c r="D6" s="15">
        <f>C6*365</f>
        <v>63.874999999999993</v>
      </c>
      <c r="E6" s="15">
        <f t="shared" ref="E6:E25" si="13">C6/$C$40</f>
        <v>1.0506280422214774E-4</v>
      </c>
      <c r="F6" s="15">
        <f>E6*365</f>
        <v>3.8347923541083927E-2</v>
      </c>
      <c r="G6" s="15">
        <f>D6-E6</f>
        <v>63.874894937195769</v>
      </c>
      <c r="H6" s="15">
        <f>D6*5</f>
        <v>319.37499999999994</v>
      </c>
      <c r="I6" s="15">
        <v>319.375</v>
      </c>
      <c r="J6" s="15">
        <f t="shared" ref="J6:J25" si="14">I6*100/$C$48</f>
        <v>5.907295915064414</v>
      </c>
      <c r="K6" s="15">
        <f>4000*(1-(J6/100))</f>
        <v>3763.7081633974235</v>
      </c>
      <c r="L6" s="15">
        <v>0.05</v>
      </c>
      <c r="M6" s="15">
        <f>K6*(1-L6)</f>
        <v>3575.5227552275524</v>
      </c>
      <c r="O6" s="14">
        <f t="shared" si="0"/>
        <v>2</v>
      </c>
      <c r="P6" s="14">
        <f t="shared" si="1"/>
        <v>0.15825148339978892</v>
      </c>
      <c r="Q6" s="14">
        <f t="shared" si="2"/>
        <v>2.760884230852453</v>
      </c>
      <c r="R6" s="14">
        <f t="shared" si="3"/>
        <v>0.36442915262663694</v>
      </c>
      <c r="S6" s="14">
        <f t="shared" ref="R6:S28" si="15">R6/(R6+Q6)</f>
        <v>0.11660563531102773</v>
      </c>
      <c r="T6" s="14">
        <f t="shared" ref="S6:T28" si="16">R6+Q6</f>
        <v>3.12531338347909</v>
      </c>
      <c r="U6" s="14">
        <f t="shared" si="4"/>
        <v>16.058931293925102</v>
      </c>
      <c r="V6" s="14" t="s">
        <v>71</v>
      </c>
      <c r="W6" s="14">
        <f t="shared" si="5"/>
        <v>0.25503479521122069</v>
      </c>
      <c r="X6" s="14">
        <f t="shared" si="6"/>
        <v>0.18539500116323876</v>
      </c>
      <c r="Y6" s="14">
        <f t="shared" ref="Y6:Y15" si="17">1+X6*(SIN(RADIANS(162))-0.333*(SIN(RADIANS(162)))^3)</f>
        <v>1.0554684536507617</v>
      </c>
      <c r="Z6" s="14">
        <f t="shared" si="7"/>
        <v>0.26918118092872578</v>
      </c>
      <c r="AA6" s="14">
        <f t="shared" si="8"/>
        <v>347.55839221682902</v>
      </c>
      <c r="AB6" s="14">
        <f t="shared" si="9"/>
        <v>1.6092745801996502</v>
      </c>
      <c r="AC6" s="14">
        <f t="shared" ref="AC6:AC15" si="18">(LN(AB6)/(-0.0523+(3.182*LN(AB6))-(0.8725*((AB6)^2))+(0.01853*(LN(AB6)^4))))</f>
        <v>-0.5969852237505634</v>
      </c>
      <c r="AD6" s="14">
        <f t="shared" si="10"/>
        <v>8.8074988308569652E-3</v>
      </c>
      <c r="AE6" s="14">
        <f t="shared" si="11"/>
        <v>278.37481397799581</v>
      </c>
      <c r="AF6" s="14">
        <f t="shared" ref="AF6:AF15" si="19">AA6*9.81*1990/6894.76</f>
        <v>984.0806898307867</v>
      </c>
      <c r="AG6" s="14">
        <f t="shared" ref="AG6:AM28" si="20">(AE6+AF6)</f>
        <v>1262.4555038087824</v>
      </c>
      <c r="AH6" s="14">
        <f t="shared" si="12"/>
        <v>2092.2023285107271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</row>
    <row r="7" spans="1:55" x14ac:dyDescent="0.3">
      <c r="B7" s="15">
        <v>2</v>
      </c>
      <c r="C7" s="15">
        <f t="shared" ref="C7:C25" si="21">$C$6*EXP(-0.1*(B7-$B$6))</f>
        <v>0.1583465481562929</v>
      </c>
      <c r="D7" s="15">
        <f t="shared" ref="D7:D25" si="22">C7*365</f>
        <v>57.796490077046911</v>
      </c>
      <c r="E7" s="15">
        <f t="shared" si="13"/>
        <v>9.5064756503985659E-5</v>
      </c>
      <c r="F7" s="15">
        <f t="shared" ref="F7:F25" si="23">E7*365</f>
        <v>3.4698636123954768E-2</v>
      </c>
      <c r="G7" s="15">
        <f t="shared" ref="G7:G25" si="24">D7-E7</f>
        <v>57.796395012290411</v>
      </c>
      <c r="H7" s="15">
        <f t="shared" ref="H7:H25" si="25">D7*5</f>
        <v>288.98245038523453</v>
      </c>
      <c r="I7" s="15">
        <f>I6+H7</f>
        <v>608.35745038523453</v>
      </c>
      <c r="J7" s="15">
        <f t="shared" si="14"/>
        <v>11.25243829842567</v>
      </c>
      <c r="K7" s="15">
        <f t="shared" ref="K7:K25" si="26">4000*(1-(J7/100))</f>
        <v>3549.9024680629732</v>
      </c>
      <c r="L7" s="15">
        <f>L6*110/100</f>
        <v>5.5E-2</v>
      </c>
      <c r="M7" s="15">
        <f t="shared" ref="M7:M25" si="27">K7*(1-L7)</f>
        <v>3354.6578323195095</v>
      </c>
      <c r="O7" s="14">
        <f t="shared" si="0"/>
        <v>3</v>
      </c>
      <c r="P7" s="14">
        <f t="shared" si="1"/>
        <v>0.14319186363982553</v>
      </c>
      <c r="Q7" s="14">
        <f t="shared" si="2"/>
        <v>2.49815135894073</v>
      </c>
      <c r="R7" s="14">
        <f t="shared" si="3"/>
        <v>0.32974913351971885</v>
      </c>
      <c r="S7" s="14">
        <f t="shared" si="15"/>
        <v>0.11660563531102773</v>
      </c>
      <c r="T7" s="14">
        <f t="shared" si="16"/>
        <v>2.8279004924604489</v>
      </c>
      <c r="U7" s="14">
        <f t="shared" si="4"/>
        <v>13.147940911902873</v>
      </c>
      <c r="V7" s="14" t="s">
        <v>71</v>
      </c>
      <c r="W7" s="14">
        <f t="shared" si="5"/>
        <v>0.25591874395211667</v>
      </c>
      <c r="X7" s="14">
        <f t="shared" si="6"/>
        <v>0.16811580738992241</v>
      </c>
      <c r="Y7" s="14">
        <f t="shared" si="17"/>
        <v>1.0502986801783161</v>
      </c>
      <c r="Z7" s="14">
        <f t="shared" si="7"/>
        <v>0.26879111900580055</v>
      </c>
      <c r="AA7" s="14">
        <f t="shared" si="8"/>
        <v>347.3277899980784</v>
      </c>
      <c r="AB7" s="14">
        <f t="shared" si="9"/>
        <v>1.613948634921452</v>
      </c>
      <c r="AC7" s="14">
        <f t="shared" si="18"/>
        <v>-0.59770485129917439</v>
      </c>
      <c r="AD7" s="14">
        <f t="shared" si="10"/>
        <v>8.8011629920594168E-3</v>
      </c>
      <c r="AE7" s="14">
        <f t="shared" si="11"/>
        <v>227.59895652662451</v>
      </c>
      <c r="AF7" s="14">
        <f t="shared" si="19"/>
        <v>983.42776014879223</v>
      </c>
      <c r="AG7" s="14">
        <f t="shared" si="20"/>
        <v>1211.0267166754168</v>
      </c>
      <c r="AH7" s="14">
        <f t="shared" si="12"/>
        <v>1942.3515520382718</v>
      </c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</row>
    <row r="8" spans="1:55" x14ac:dyDescent="0.3">
      <c r="B8" s="15">
        <v>3</v>
      </c>
      <c r="C8" s="15">
        <f t="shared" si="21"/>
        <v>0.14327788178864681</v>
      </c>
      <c r="D8" s="15">
        <f t="shared" si="22"/>
        <v>52.296426852856086</v>
      </c>
      <c r="E8" s="15">
        <f t="shared" si="13"/>
        <v>8.6018148821283586E-5</v>
      </c>
      <c r="F8" s="15">
        <f t="shared" si="23"/>
        <v>3.1396624319768508E-2</v>
      </c>
      <c r="G8" s="15">
        <f t="shared" si="24"/>
        <v>52.296340834707266</v>
      </c>
      <c r="H8" s="15">
        <f t="shared" si="25"/>
        <v>261.48213426428043</v>
      </c>
      <c r="I8" s="15">
        <f t="shared" ref="I8:I25" si="28">I7+H8</f>
        <v>869.83958464951502</v>
      </c>
      <c r="J8" s="15">
        <f t="shared" si="14"/>
        <v>16.088923131620842</v>
      </c>
      <c r="K8" s="15">
        <f t="shared" si="26"/>
        <v>3356.4430747351662</v>
      </c>
      <c r="L8" s="15">
        <f t="shared" ref="L8:L25" si="29">L7*110/100</f>
        <v>6.0499999999999998E-2</v>
      </c>
      <c r="M8" s="15">
        <f t="shared" si="27"/>
        <v>3153.3782687136886</v>
      </c>
      <c r="O8" s="14">
        <f t="shared" si="0"/>
        <v>4</v>
      </c>
      <c r="P8" s="14">
        <f t="shared" si="1"/>
        <v>0.12956535617961695</v>
      </c>
      <c r="Q8" s="14">
        <f t="shared" si="2"/>
        <v>2.2604208254869542</v>
      </c>
      <c r="R8" s="14">
        <f t="shared" si="3"/>
        <v>0.29836935457357733</v>
      </c>
      <c r="S8" s="14">
        <f t="shared" si="15"/>
        <v>0.11660563531102773</v>
      </c>
      <c r="T8" s="14">
        <f t="shared" si="16"/>
        <v>2.5587901800605315</v>
      </c>
      <c r="U8" s="14">
        <f t="shared" si="4"/>
        <v>10.764623564227049</v>
      </c>
      <c r="V8" s="14" t="s">
        <v>71</v>
      </c>
      <c r="W8" s="14">
        <f t="shared" si="5"/>
        <v>0.25680575645290432</v>
      </c>
      <c r="X8" s="14">
        <f t="shared" si="6"/>
        <v>0.15083661361660614</v>
      </c>
      <c r="Y8" s="14">
        <f t="shared" si="17"/>
        <v>1.0451289067058707</v>
      </c>
      <c r="Z8" s="14">
        <f t="shared" si="7"/>
        <v>0.26839511947739797</v>
      </c>
      <c r="AA8" s="14">
        <f t="shared" si="8"/>
        <v>347.09367750335196</v>
      </c>
      <c r="AB8" s="14">
        <f t="shared" si="9"/>
        <v>1.6187147006506468</v>
      </c>
      <c r="AC8" s="14">
        <f t="shared" si="18"/>
        <v>-0.59837140612257445</v>
      </c>
      <c r="AD8" s="14">
        <f t="shared" si="10"/>
        <v>8.795298489139014E-3</v>
      </c>
      <c r="AE8" s="14">
        <f t="shared" si="11"/>
        <v>186.09258085629142</v>
      </c>
      <c r="AF8" s="14">
        <f t="shared" si="19"/>
        <v>982.76489143243361</v>
      </c>
      <c r="AG8" s="14">
        <f t="shared" si="20"/>
        <v>1168.8574722887251</v>
      </c>
      <c r="AH8" s="14">
        <f t="shared" si="12"/>
        <v>1800.8145486480876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</row>
    <row r="9" spans="1:55" x14ac:dyDescent="0.3">
      <c r="B9" s="15">
        <v>4</v>
      </c>
      <c r="C9" s="15">
        <f t="shared" si="21"/>
        <v>0.12964318861930063</v>
      </c>
      <c r="D9" s="15">
        <f t="shared" si="22"/>
        <v>47.319763846044729</v>
      </c>
      <c r="E9" s="15">
        <f t="shared" si="13"/>
        <v>7.7832439683683176E-5</v>
      </c>
      <c r="F9" s="15">
        <f t="shared" si="23"/>
        <v>2.8408840484544361E-2</v>
      </c>
      <c r="G9" s="15">
        <f t="shared" si="24"/>
        <v>47.319686013605043</v>
      </c>
      <c r="H9" s="15">
        <f t="shared" si="25"/>
        <v>236.59881923022365</v>
      </c>
      <c r="I9" s="15">
        <f t="shared" si="28"/>
        <v>1106.4384038797386</v>
      </c>
      <c r="J9" s="15">
        <f t="shared" si="14"/>
        <v>20.465155580459243</v>
      </c>
      <c r="K9" s="15">
        <f t="shared" si="26"/>
        <v>3181.3937767816301</v>
      </c>
      <c r="L9" s="15">
        <f t="shared" si="29"/>
        <v>6.6549999999999998E-2</v>
      </c>
      <c r="M9" s="15">
        <f t="shared" si="27"/>
        <v>2969.6720209368127</v>
      </c>
      <c r="O9" s="14">
        <f t="shared" si="0"/>
        <v>5</v>
      </c>
      <c r="P9" s="14">
        <f t="shared" si="1"/>
        <v>0.11723558235247405</v>
      </c>
      <c r="Q9" s="14">
        <f t="shared" si="2"/>
        <v>2.0453133434083273</v>
      </c>
      <c r="R9" s="14">
        <f t="shared" si="3"/>
        <v>0.26997575641341143</v>
      </c>
      <c r="S9" s="14">
        <f t="shared" si="15"/>
        <v>0.11660563531102776</v>
      </c>
      <c r="T9" s="14">
        <f t="shared" si="16"/>
        <v>2.3152890998217388</v>
      </c>
      <c r="U9" s="14">
        <f t="shared" si="4"/>
        <v>8.8133283573405965</v>
      </c>
      <c r="V9" s="14" t="s">
        <v>71</v>
      </c>
      <c r="W9" s="14">
        <f t="shared" si="5"/>
        <v>0.25769584333255302</v>
      </c>
      <c r="X9" s="14">
        <f t="shared" si="6"/>
        <v>0.13355741984328987</v>
      </c>
      <c r="Y9" s="14">
        <f t="shared" si="17"/>
        <v>1.039959133233425</v>
      </c>
      <c r="Z9" s="14">
        <f t="shared" si="7"/>
        <v>0.26799314586997836</v>
      </c>
      <c r="AA9" s="14">
        <f t="shared" si="8"/>
        <v>346.85603316971645</v>
      </c>
      <c r="AB9" s="14">
        <f t="shared" si="9"/>
        <v>1.6235742919388612</v>
      </c>
      <c r="AC9" s="14">
        <f t="shared" si="18"/>
        <v>-0.5989822021573431</v>
      </c>
      <c r="AD9" s="14">
        <f t="shared" si="10"/>
        <v>8.7899279960021639E-3</v>
      </c>
      <c r="AE9" s="14">
        <f t="shared" si="11"/>
        <v>152.1624342662447</v>
      </c>
      <c r="AF9" s="14">
        <f t="shared" si="19"/>
        <v>982.09202262818258</v>
      </c>
      <c r="AG9" s="14">
        <f t="shared" si="20"/>
        <v>1134.2544568944272</v>
      </c>
      <c r="AH9" s="14">
        <f t="shared" si="12"/>
        <v>1667.4492581549689</v>
      </c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</row>
    <row r="10" spans="1:55" x14ac:dyDescent="0.3">
      <c r="B10" s="15">
        <v>5</v>
      </c>
      <c r="C10" s="15">
        <f t="shared" si="21"/>
        <v>0.11730600805623688</v>
      </c>
      <c r="D10" s="15">
        <f t="shared" si="22"/>
        <v>42.816692940526458</v>
      </c>
      <c r="E10" s="15">
        <f t="shared" si="13"/>
        <v>7.0425703762823439E-5</v>
      </c>
      <c r="F10" s="15">
        <f t="shared" si="23"/>
        <v>2.5705381873430556E-2</v>
      </c>
      <c r="G10" s="15">
        <f t="shared" si="24"/>
        <v>42.816622514822697</v>
      </c>
      <c r="H10" s="15">
        <f t="shared" si="25"/>
        <v>214.08346470263228</v>
      </c>
      <c r="I10" s="15">
        <f t="shared" si="28"/>
        <v>1320.5218685823709</v>
      </c>
      <c r="J10" s="15">
        <f t="shared" si="14"/>
        <v>24.424934450191362</v>
      </c>
      <c r="K10" s="15">
        <f t="shared" si="26"/>
        <v>3023.0026219923457</v>
      </c>
      <c r="L10" s="15">
        <f t="shared" si="29"/>
        <v>7.3205000000000006E-2</v>
      </c>
      <c r="M10" s="15">
        <f t="shared" si="27"/>
        <v>2801.7037150493961</v>
      </c>
      <c r="O10" s="14">
        <f t="shared" si="0"/>
        <v>6</v>
      </c>
      <c r="P10" s="14">
        <f t="shared" si="1"/>
        <v>0.10607914163775473</v>
      </c>
      <c r="Q10" s="14">
        <f t="shared" si="2"/>
        <v>1.8506760447240871</v>
      </c>
      <c r="R10" s="14">
        <f t="shared" si="3"/>
        <v>0.24428416636541636</v>
      </c>
      <c r="S10" s="14">
        <f t="shared" si="15"/>
        <v>0.11660563531102774</v>
      </c>
      <c r="T10" s="14">
        <f t="shared" si="16"/>
        <v>2.0949602110895036</v>
      </c>
      <c r="U10" s="14">
        <f t="shared" si="4"/>
        <v>7.2157429631290011</v>
      </c>
      <c r="V10" s="14" t="s">
        <v>71</v>
      </c>
      <c r="W10" s="14">
        <f t="shared" si="5"/>
        <v>0.25858901524683747</v>
      </c>
      <c r="X10" s="14">
        <f t="shared" si="6"/>
        <v>0.11627822606997351</v>
      </c>
      <c r="Y10" s="14">
        <f t="shared" si="17"/>
        <v>1.0347893597609794</v>
      </c>
      <c r="Z10" s="14">
        <f t="shared" si="7"/>
        <v>0.2675851615284971</v>
      </c>
      <c r="AA10" s="14">
        <f t="shared" si="8"/>
        <v>346.6148353269341</v>
      </c>
      <c r="AB10" s="14">
        <f t="shared" si="9"/>
        <v>1.6285289602498043</v>
      </c>
      <c r="AC10" s="14">
        <f t="shared" si="18"/>
        <v>-0.59953453084082753</v>
      </c>
      <c r="AD10" s="14">
        <f t="shared" si="10"/>
        <v>8.7850744071557661E-3</v>
      </c>
      <c r="AE10" s="14">
        <f t="shared" si="11"/>
        <v>124.42469121039693</v>
      </c>
      <c r="AF10" s="14">
        <f t="shared" si="19"/>
        <v>981.40909237868686</v>
      </c>
      <c r="AG10" s="14">
        <f t="shared" si="20"/>
        <v>1105.8337835890839</v>
      </c>
      <c r="AH10" s="14">
        <f t="shared" si="12"/>
        <v>1541.9625704468676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</row>
    <row r="11" spans="1:55" x14ac:dyDescent="0.3">
      <c r="B11" s="15">
        <v>6</v>
      </c>
      <c r="C11" s="15">
        <f t="shared" si="21"/>
        <v>0.10614286544971084</v>
      </c>
      <c r="D11" s="15">
        <f t="shared" si="22"/>
        <v>38.74214588914446</v>
      </c>
      <c r="E11" s="15">
        <f t="shared" si="13"/>
        <v>6.3723811956118524E-5</v>
      </c>
      <c r="F11" s="15">
        <f t="shared" si="23"/>
        <v>2.3259191363983262E-2</v>
      </c>
      <c r="G11" s="15">
        <f t="shared" si="24"/>
        <v>38.742082165332505</v>
      </c>
      <c r="H11" s="15">
        <f t="shared" si="25"/>
        <v>193.71072944572231</v>
      </c>
      <c r="I11" s="15">
        <f t="shared" si="28"/>
        <v>1514.2325980280932</v>
      </c>
      <c r="J11" s="15">
        <f t="shared" si="14"/>
        <v>28.007890538673131</v>
      </c>
      <c r="K11" s="15">
        <f t="shared" si="26"/>
        <v>2879.6843784530747</v>
      </c>
      <c r="L11" s="15">
        <f t="shared" si="29"/>
        <v>8.05255E-2</v>
      </c>
      <c r="M11" s="15">
        <f t="shared" si="27"/>
        <v>2647.7963540359515</v>
      </c>
      <c r="O11" s="14">
        <f t="shared" si="0"/>
        <v>7</v>
      </c>
      <c r="P11" s="14">
        <f t="shared" si="1"/>
        <v>9.5984376626976828E-2</v>
      </c>
      <c r="Q11" s="14">
        <f t="shared" si="2"/>
        <v>1.6745609339291447</v>
      </c>
      <c r="R11" s="14">
        <f t="shared" si="3"/>
        <v>0.22103745436115008</v>
      </c>
      <c r="S11" s="14">
        <f t="shared" si="15"/>
        <v>0.11660563531102774</v>
      </c>
      <c r="T11" s="14">
        <f t="shared" si="16"/>
        <v>1.8955983882902947</v>
      </c>
      <c r="U11" s="14">
        <f t="shared" si="4"/>
        <v>5.9077506702197526</v>
      </c>
      <c r="V11" s="14" t="s">
        <v>71</v>
      </c>
      <c r="W11" s="14">
        <f t="shared" si="5"/>
        <v>0.25948528288846529</v>
      </c>
      <c r="X11" s="14">
        <f t="shared" si="6"/>
        <v>9.89990322966572E-2</v>
      </c>
      <c r="Y11" s="14">
        <f t="shared" si="17"/>
        <v>1.0296195862885338</v>
      </c>
      <c r="Z11" s="14">
        <f t="shared" si="7"/>
        <v>0.26717112961558476</v>
      </c>
      <c r="AA11" s="14">
        <f t="shared" si="8"/>
        <v>346.37006219697798</v>
      </c>
      <c r="AB11" s="14">
        <f t="shared" si="9"/>
        <v>1.6335802950272573</v>
      </c>
      <c r="AC11" s="14">
        <f t="shared" si="18"/>
        <v>-0.60002566494894038</v>
      </c>
      <c r="AD11" s="14">
        <f t="shared" si="10"/>
        <v>8.7807608168344788E-3</v>
      </c>
      <c r="AE11" s="14">
        <f t="shared" si="11"/>
        <v>101.74839777509366</v>
      </c>
      <c r="AF11" s="14">
        <f t="shared" si="19"/>
        <v>980.71603902139952</v>
      </c>
      <c r="AG11" s="14">
        <f t="shared" si="20"/>
        <v>1082.4644367964931</v>
      </c>
      <c r="AH11" s="14">
        <f t="shared" si="12"/>
        <v>1423.9501811431207</v>
      </c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</row>
    <row r="12" spans="1:55" x14ac:dyDescent="0.3">
      <c r="B12" s="15">
        <v>7</v>
      </c>
      <c r="C12" s="15">
        <f t="shared" si="21"/>
        <v>9.604203631645461E-2</v>
      </c>
      <c r="D12" s="15">
        <f t="shared" si="22"/>
        <v>35.055343255505932</v>
      </c>
      <c r="E12" s="15">
        <f t="shared" si="13"/>
        <v>5.7659689477783282E-5</v>
      </c>
      <c r="F12" s="15">
        <f t="shared" si="23"/>
        <v>2.1045786659390896E-2</v>
      </c>
      <c r="G12" s="15">
        <f t="shared" si="24"/>
        <v>35.055285595816457</v>
      </c>
      <c r="H12" s="15">
        <f t="shared" si="25"/>
        <v>175.27671627752966</v>
      </c>
      <c r="I12" s="15">
        <f t="shared" si="28"/>
        <v>1689.5093143056229</v>
      </c>
      <c r="J12" s="15">
        <f t="shared" si="14"/>
        <v>31.249883274711184</v>
      </c>
      <c r="K12" s="15">
        <f t="shared" si="26"/>
        <v>2750.0046690115523</v>
      </c>
      <c r="L12" s="15">
        <f t="shared" si="29"/>
        <v>8.8578050000000005E-2</v>
      </c>
      <c r="M12" s="15">
        <f t="shared" si="27"/>
        <v>2506.4146179396139</v>
      </c>
      <c r="O12" s="14">
        <f t="shared" si="0"/>
        <v>8</v>
      </c>
      <c r="P12" s="14">
        <f t="shared" si="1"/>
        <v>8.6850255518944819E-2</v>
      </c>
      <c r="Q12" s="14">
        <f t="shared" si="2"/>
        <v>1.5152053918003325</v>
      </c>
      <c r="R12" s="14">
        <f t="shared" si="3"/>
        <v>0.20000295949338429</v>
      </c>
      <c r="S12" s="14">
        <f t="shared" si="15"/>
        <v>0.11660563531102773</v>
      </c>
      <c r="T12" s="14">
        <f t="shared" si="16"/>
        <v>1.7152083512937168</v>
      </c>
      <c r="U12" s="14">
        <f t="shared" si="4"/>
        <v>4.8368571552259718</v>
      </c>
      <c r="V12" s="14" t="s">
        <v>71</v>
      </c>
      <c r="W12" s="14">
        <f t="shared" si="5"/>
        <v>0.26038465698720475</v>
      </c>
      <c r="X12" s="14">
        <f t="shared" si="6"/>
        <v>8.1719838523340957E-2</v>
      </c>
      <c r="Y12" s="14">
        <f t="shared" si="17"/>
        <v>1.0244498128160884</v>
      </c>
      <c r="Z12" s="14">
        <f t="shared" si="7"/>
        <v>0.2667510131107233</v>
      </c>
      <c r="AA12" s="14">
        <f t="shared" si="8"/>
        <v>346.12169189354444</v>
      </c>
      <c r="AB12" s="14">
        <f t="shared" si="9"/>
        <v>1.6387299247998814</v>
      </c>
      <c r="AC12" s="14">
        <f t="shared" si="18"/>
        <v>-0.60045286268225295</v>
      </c>
      <c r="AD12" s="14">
        <f t="shared" si="10"/>
        <v>8.7770104968379024E-3</v>
      </c>
      <c r="AE12" s="14">
        <f t="shared" si="11"/>
        <v>83.209253055717724</v>
      </c>
      <c r="AF12" s="14">
        <f t="shared" si="19"/>
        <v>980.01280058719749</v>
      </c>
      <c r="AG12" s="14">
        <f t="shared" si="20"/>
        <v>1063.2220536429152</v>
      </c>
      <c r="AH12" s="14">
        <f t="shared" si="12"/>
        <v>1312.9275367258149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</row>
    <row r="13" spans="1:55" x14ac:dyDescent="0.3">
      <c r="B13" s="15">
        <v>8</v>
      </c>
      <c r="C13" s="15">
        <f t="shared" si="21"/>
        <v>8.6902428163496651E-2</v>
      </c>
      <c r="D13" s="15">
        <f t="shared" si="22"/>
        <v>31.719386279676279</v>
      </c>
      <c r="E13" s="15">
        <f t="shared" si="13"/>
        <v>5.217264455183261E-5</v>
      </c>
      <c r="F13" s="15">
        <f t="shared" si="23"/>
        <v>1.9043015261418904E-2</v>
      </c>
      <c r="G13" s="15">
        <f t="shared" si="24"/>
        <v>31.719334107031727</v>
      </c>
      <c r="H13" s="15">
        <f t="shared" si="25"/>
        <v>158.5969313983814</v>
      </c>
      <c r="I13" s="15">
        <f t="shared" si="28"/>
        <v>1848.1062457040043</v>
      </c>
      <c r="J13" s="15">
        <f t="shared" si="14"/>
        <v>34.183359611279201</v>
      </c>
      <c r="K13" s="15">
        <f t="shared" si="26"/>
        <v>2632.6656155488317</v>
      </c>
      <c r="L13" s="15">
        <f t="shared" si="29"/>
        <v>9.7435855000000002E-2</v>
      </c>
      <c r="M13" s="15">
        <f t="shared" si="27"/>
        <v>2376.1495903687301</v>
      </c>
      <c r="O13" s="14">
        <f t="shared" si="0"/>
        <v>9</v>
      </c>
      <c r="P13" s="14">
        <f t="shared" si="1"/>
        <v>7.8585360959525383E-2</v>
      </c>
      <c r="Q13" s="14">
        <f t="shared" si="2"/>
        <v>1.3710145345107774</v>
      </c>
      <c r="R13" s="14">
        <f t="shared" si="3"/>
        <v>0.18097016146754447</v>
      </c>
      <c r="S13" s="14">
        <f t="shared" si="15"/>
        <v>0.11660563531102774</v>
      </c>
      <c r="T13" s="14">
        <f t="shared" si="16"/>
        <v>1.5519846959783219</v>
      </c>
      <c r="U13" s="14">
        <f t="shared" si="4"/>
        <v>3.9600837012287844</v>
      </c>
      <c r="V13" s="14" t="s">
        <v>71</v>
      </c>
      <c r="W13" s="14">
        <f t="shared" si="5"/>
        <v>0.26128714831001371</v>
      </c>
      <c r="X13" s="14">
        <f t="shared" si="6"/>
        <v>6.4440644750024784E-2</v>
      </c>
      <c r="Y13" s="14">
        <f t="shared" si="17"/>
        <v>1.0192800393436428</v>
      </c>
      <c r="Z13" s="14">
        <f t="shared" si="7"/>
        <v>0.26632477480941896</v>
      </c>
      <c r="AA13" s="14">
        <f t="shared" si="8"/>
        <v>345.86970242156485</v>
      </c>
      <c r="AB13" s="14">
        <f t="shared" si="9"/>
        <v>1.6439795183243131</v>
      </c>
      <c r="AC13" s="14">
        <f t="shared" si="18"/>
        <v>-0.60081337199997642</v>
      </c>
      <c r="AD13" s="14">
        <f t="shared" si="10"/>
        <v>8.7738468730642252E-3</v>
      </c>
      <c r="AE13" s="14">
        <f t="shared" si="11"/>
        <v>68.051838428187068</v>
      </c>
      <c r="AF13" s="14">
        <f t="shared" si="19"/>
        <v>979.29931479899903</v>
      </c>
      <c r="AG13" s="14">
        <f t="shared" si="20"/>
        <v>1047.3511532271862</v>
      </c>
      <c r="AH13" s="14">
        <f t="shared" si="12"/>
        <v>1208.3536061279794</v>
      </c>
    </row>
    <row r="14" spans="1:55" x14ac:dyDescent="0.3">
      <c r="B14" s="15">
        <v>9</v>
      </c>
      <c r="C14" s="15">
        <f t="shared" si="21"/>
        <v>7.8632568720513774E-2</v>
      </c>
      <c r="D14" s="15">
        <f t="shared" si="22"/>
        <v>28.700887582987527</v>
      </c>
      <c r="E14" s="15">
        <f t="shared" si="13"/>
        <v>4.7207760988388099E-5</v>
      </c>
      <c r="F14" s="15">
        <f t="shared" si="23"/>
        <v>1.7230832760761657E-2</v>
      </c>
      <c r="G14" s="15">
        <f t="shared" si="24"/>
        <v>28.700840375226537</v>
      </c>
      <c r="H14" s="15">
        <f t="shared" si="25"/>
        <v>143.50443791493763</v>
      </c>
      <c r="I14" s="15">
        <f t="shared" si="28"/>
        <v>1991.6106836189419</v>
      </c>
      <c r="J14" s="15">
        <f t="shared" si="14"/>
        <v>36.837678765528992</v>
      </c>
      <c r="K14" s="15">
        <f t="shared" si="26"/>
        <v>2526.4928493788402</v>
      </c>
      <c r="L14" s="15">
        <f t="shared" si="29"/>
        <v>0.1071794405</v>
      </c>
      <c r="M14" s="15">
        <f t="shared" si="27"/>
        <v>2255.7047593551656</v>
      </c>
      <c r="O14" s="14">
        <f t="shared" si="0"/>
        <v>10</v>
      </c>
      <c r="P14" s="14">
        <f t="shared" si="1"/>
        <v>7.1106975106040846E-2</v>
      </c>
      <c r="Q14" s="14">
        <f t="shared" si="2"/>
        <v>1.240545251496505</v>
      </c>
      <c r="R14" s="14">
        <f t="shared" si="3"/>
        <v>0.16374857364384365</v>
      </c>
      <c r="S14" s="14">
        <f t="shared" si="15"/>
        <v>0.11660563531102776</v>
      </c>
      <c r="T14" s="14">
        <f t="shared" si="16"/>
        <v>1.4042938251403485</v>
      </c>
      <c r="U14" s="14">
        <f t="shared" si="4"/>
        <v>3.2422423109588845</v>
      </c>
      <c r="V14" s="14" t="s">
        <v>71</v>
      </c>
      <c r="W14" s="14">
        <f t="shared" si="5"/>
        <v>0.262192767661168</v>
      </c>
      <c r="X14" s="14">
        <f t="shared" si="6"/>
        <v>4.7161450976708513E-2</v>
      </c>
      <c r="Y14" s="14">
        <f t="shared" si="17"/>
        <v>1.0141102658711973</v>
      </c>
      <c r="Z14" s="14">
        <f t="shared" si="7"/>
        <v>0.26589237732237214</v>
      </c>
      <c r="AA14" s="14">
        <f t="shared" si="8"/>
        <v>345.61407167671439</v>
      </c>
      <c r="AB14" s="14">
        <f t="shared" si="9"/>
        <v>1.6493307857680717</v>
      </c>
      <c r="AC14" s="14">
        <f t="shared" si="18"/>
        <v>-0.60110443520010348</v>
      </c>
      <c r="AD14" s="14">
        <f t="shared" si="10"/>
        <v>8.7712935007303143E-3</v>
      </c>
      <c r="AE14" s="14">
        <f t="shared" si="11"/>
        <v>55.658750808854116</v>
      </c>
      <c r="AF14" s="14">
        <f t="shared" si="19"/>
        <v>978.57551907037384</v>
      </c>
      <c r="AG14" s="14">
        <f t="shared" si="20"/>
        <v>1034.2342698792279</v>
      </c>
      <c r="AH14" s="14">
        <f t="shared" si="12"/>
        <v>1109.648883503138</v>
      </c>
    </row>
    <row r="15" spans="1:55" x14ac:dyDescent="0.3">
      <c r="B15" s="15">
        <v>10</v>
      </c>
      <c r="C15" s="15">
        <f t="shared" si="21"/>
        <v>7.1149690454604841E-2</v>
      </c>
      <c r="D15" s="15">
        <f t="shared" si="22"/>
        <v>25.969637015930768</v>
      </c>
      <c r="E15" s="15">
        <f t="shared" si="13"/>
        <v>4.2715348563991791E-5</v>
      </c>
      <c r="F15" s="15">
        <f t="shared" si="23"/>
        <v>1.5591102225857004E-2</v>
      </c>
      <c r="G15" s="15">
        <f t="shared" si="24"/>
        <v>25.969594300582205</v>
      </c>
      <c r="H15" s="15">
        <f t="shared" si="25"/>
        <v>129.84818507965383</v>
      </c>
      <c r="I15" s="15">
        <f t="shared" si="28"/>
        <v>2121.4588686985958</v>
      </c>
      <c r="J15" s="15">
        <f t="shared" si="14"/>
        <v>39.239406055703761</v>
      </c>
      <c r="K15" s="15">
        <f t="shared" si="26"/>
        <v>2430.4237577718495</v>
      </c>
      <c r="L15" s="15">
        <f t="shared" si="29"/>
        <v>0.11789738455</v>
      </c>
      <c r="M15" s="15">
        <f t="shared" si="27"/>
        <v>2143.8831533823659</v>
      </c>
      <c r="O15" s="14">
        <f t="shared" si="0"/>
        <v>11</v>
      </c>
      <c r="P15" s="14">
        <f t="shared" si="1"/>
        <v>6.4340251759297251E-2</v>
      </c>
      <c r="Q15" s="14">
        <f t="shared" si="2"/>
        <v>1.1224917623208674</v>
      </c>
      <c r="R15" s="14">
        <f t="shared" si="3"/>
        <v>0.14816583658296667</v>
      </c>
      <c r="S15" s="14">
        <f t="shared" si="15"/>
        <v>0.11660563531102777</v>
      </c>
      <c r="T15" s="14">
        <f t="shared" si="16"/>
        <v>1.270657598903834</v>
      </c>
      <c r="U15" s="14">
        <f t="shared" si="4"/>
        <v>2.654523488912663</v>
      </c>
      <c r="V15" s="14" t="s">
        <v>71</v>
      </c>
      <c r="W15" s="14">
        <f t="shared" si="5"/>
        <v>0.26310152588239105</v>
      </c>
      <c r="X15" s="14">
        <f t="shared" si="6"/>
        <v>2.9882257203391986E-2</v>
      </c>
      <c r="Y15" s="14">
        <f t="shared" si="17"/>
        <v>1.0089404923987517</v>
      </c>
      <c r="Z15" s="14">
        <f t="shared" si="7"/>
        <v>0.26545378307464257</v>
      </c>
      <c r="AA15" s="14">
        <f t="shared" si="8"/>
        <v>345.35477744491857</v>
      </c>
      <c r="AB15" s="14">
        <f t="shared" si="9"/>
        <v>1.654785479933901</v>
      </c>
      <c r="AC15" s="14">
        <f t="shared" si="18"/>
        <v>-0.60132329374260429</v>
      </c>
      <c r="AD15" s="14">
        <f t="shared" si="10"/>
        <v>8.7693740382719359E-3</v>
      </c>
      <c r="AE15" s="14">
        <f t="shared" si="11"/>
        <v>45.525378075579837</v>
      </c>
      <c r="AF15" s="14">
        <f t="shared" si="19"/>
        <v>977.84135050414454</v>
      </c>
      <c r="AG15" s="14">
        <f t="shared" si="20"/>
        <v>1023.3667285797244</v>
      </c>
      <c r="AH15" s="14">
        <f t="shared" si="12"/>
        <v>1016.2087562753075</v>
      </c>
    </row>
    <row r="16" spans="1:55" x14ac:dyDescent="0.3">
      <c r="B16" s="15">
        <v>11</v>
      </c>
      <c r="C16" s="15">
        <f t="shared" si="21"/>
        <v>6.4378902205002406E-2</v>
      </c>
      <c r="D16" s="15">
        <f t="shared" si="22"/>
        <v>23.498299304825878</v>
      </c>
      <c r="E16" s="15">
        <f t="shared" si="13"/>
        <v>3.8650445705148364E-5</v>
      </c>
      <c r="F16" s="15">
        <f t="shared" si="23"/>
        <v>1.4107412682379153E-2</v>
      </c>
      <c r="G16" s="15">
        <f t="shared" si="24"/>
        <v>23.498260654380172</v>
      </c>
      <c r="H16" s="15">
        <f t="shared" si="25"/>
        <v>117.49149652412939</v>
      </c>
      <c r="I16" s="15">
        <f t="shared" si="28"/>
        <v>2238.9503652227249</v>
      </c>
      <c r="J16" s="15">
        <f t="shared" si="14"/>
        <v>41.412578775771998</v>
      </c>
      <c r="K16" s="15">
        <f t="shared" si="26"/>
        <v>2343.49684896912</v>
      </c>
      <c r="L16" s="15">
        <f t="shared" si="29"/>
        <v>0.12968712300499999</v>
      </c>
      <c r="M16" s="15">
        <f t="shared" si="27"/>
        <v>2039.5754848550318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spans="2:40" x14ac:dyDescent="0.3">
      <c r="B17" s="15">
        <v>12</v>
      </c>
      <c r="C17" s="15">
        <f t="shared" si="21"/>
        <v>5.8252439647163916E-2</v>
      </c>
      <c r="D17" s="15">
        <f t="shared" si="22"/>
        <v>21.262140471214828</v>
      </c>
      <c r="E17" s="15">
        <f t="shared" si="13"/>
        <v>3.4972369497785487E-5</v>
      </c>
      <c r="F17" s="15">
        <f t="shared" si="23"/>
        <v>1.2764914866691703E-2</v>
      </c>
      <c r="G17" s="15">
        <f t="shared" si="24"/>
        <v>21.26210549884533</v>
      </c>
      <c r="H17" s="15">
        <f t="shared" si="25"/>
        <v>106.31070235607413</v>
      </c>
      <c r="I17" s="15">
        <f t="shared" si="28"/>
        <v>2345.2610675787992</v>
      </c>
      <c r="J17" s="15">
        <f t="shared" si="14"/>
        <v>43.378946768744726</v>
      </c>
      <c r="K17" s="15">
        <f t="shared" si="26"/>
        <v>2264.8421292502112</v>
      </c>
      <c r="L17" s="15">
        <f t="shared" si="29"/>
        <v>0.14265583530549997</v>
      </c>
      <c r="M17" s="15">
        <f t="shared" si="27"/>
        <v>1941.7491834669352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spans="2:40" x14ac:dyDescent="0.3">
      <c r="B18" s="15">
        <v>13</v>
      </c>
      <c r="C18" s="15">
        <f t="shared" si="21"/>
        <v>5.2708987084635353E-2</v>
      </c>
      <c r="D18" s="15">
        <f t="shared" si="22"/>
        <v>19.238780285891902</v>
      </c>
      <c r="E18" s="15">
        <f t="shared" si="13"/>
        <v>3.1644308518975765E-5</v>
      </c>
      <c r="F18" s="15">
        <f t="shared" si="23"/>
        <v>1.1550172609426155E-2</v>
      </c>
      <c r="G18" s="15">
        <f t="shared" si="24"/>
        <v>19.238748641583385</v>
      </c>
      <c r="H18" s="15">
        <f t="shared" si="25"/>
        <v>96.193901429459515</v>
      </c>
      <c r="I18" s="15">
        <f t="shared" si="28"/>
        <v>2441.4549690082586</v>
      </c>
      <c r="J18" s="15">
        <f t="shared" si="14"/>
        <v>45.158190106414722</v>
      </c>
      <c r="K18" s="15">
        <f t="shared" si="26"/>
        <v>2193.672395743411</v>
      </c>
      <c r="L18" s="15">
        <f t="shared" si="29"/>
        <v>0.15692141883604996</v>
      </c>
      <c r="M18" s="15">
        <f t="shared" si="27"/>
        <v>1849.4382109418782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 spans="2:40" x14ac:dyDescent="0.3">
      <c r="B19" s="15">
        <v>14</v>
      </c>
      <c r="C19" s="15">
        <f t="shared" si="21"/>
        <v>4.76930637809522E-2</v>
      </c>
      <c r="D19" s="15">
        <f t="shared" si="22"/>
        <v>17.407968280047552</v>
      </c>
      <c r="E19" s="15">
        <f t="shared" si="13"/>
        <v>2.8632954415843351E-5</v>
      </c>
      <c r="F19" s="15">
        <f t="shared" si="23"/>
        <v>1.0451028361782824E-2</v>
      </c>
      <c r="G19" s="15">
        <f t="shared" si="24"/>
        <v>17.407939647093137</v>
      </c>
      <c r="H19" s="15">
        <f t="shared" si="25"/>
        <v>87.039841400237762</v>
      </c>
      <c r="I19" s="15">
        <f t="shared" si="28"/>
        <v>2528.4948104084965</v>
      </c>
      <c r="J19" s="15">
        <f t="shared" si="14"/>
        <v>46.768116054129727</v>
      </c>
      <c r="K19" s="15">
        <f t="shared" si="26"/>
        <v>2129.2753578348111</v>
      </c>
      <c r="L19" s="15">
        <f t="shared" si="29"/>
        <v>0.17261356071965495</v>
      </c>
      <c r="M19" s="15">
        <f t="shared" si="27"/>
        <v>1761.7335565663268</v>
      </c>
    </row>
    <row r="20" spans="2:40" x14ac:dyDescent="0.3">
      <c r="B20" s="15">
        <v>15</v>
      </c>
      <c r="C20" s="15">
        <f t="shared" si="21"/>
        <v>4.3154468689781122E-2</v>
      </c>
      <c r="D20" s="15">
        <f t="shared" si="22"/>
        <v>15.75138107177011</v>
      </c>
      <c r="E20" s="15">
        <f t="shared" si="13"/>
        <v>2.5908168544373021E-5</v>
      </c>
      <c r="F20" s="15">
        <f t="shared" si="23"/>
        <v>9.456481518696153E-3</v>
      </c>
      <c r="G20" s="15">
        <f t="shared" si="24"/>
        <v>15.751355163601566</v>
      </c>
      <c r="H20" s="15">
        <f t="shared" si="25"/>
        <v>78.756905358850545</v>
      </c>
      <c r="I20" s="15">
        <f t="shared" si="28"/>
        <v>2607.2517157673469</v>
      </c>
      <c r="J20" s="15">
        <f t="shared" si="14"/>
        <v>48.224837291889258</v>
      </c>
      <c r="K20" s="15">
        <f t="shared" si="26"/>
        <v>2071.0065083244294</v>
      </c>
      <c r="L20" s="15">
        <f t="shared" si="29"/>
        <v>0.18987491679162044</v>
      </c>
      <c r="M20" s="15">
        <f t="shared" si="27"/>
        <v>1677.7743198814239</v>
      </c>
    </row>
    <row r="21" spans="2:40" x14ac:dyDescent="0.3">
      <c r="B21" s="15">
        <v>16</v>
      </c>
      <c r="C21" s="15">
        <f t="shared" si="21"/>
        <v>3.9047778025975213E-2</v>
      </c>
      <c r="D21" s="15">
        <f t="shared" si="22"/>
        <v>14.252438979480953</v>
      </c>
      <c r="E21" s="15">
        <f t="shared" si="13"/>
        <v>2.3442680331730954E-5</v>
      </c>
      <c r="F21" s="15">
        <f t="shared" si="23"/>
        <v>8.5565783210817987E-3</v>
      </c>
      <c r="G21" s="15">
        <f t="shared" si="24"/>
        <v>14.252415536800621</v>
      </c>
      <c r="H21" s="15">
        <f t="shared" si="25"/>
        <v>71.262194897404768</v>
      </c>
      <c r="I21" s="15">
        <f t="shared" si="28"/>
        <v>2678.5139106647516</v>
      </c>
      <c r="J21" s="15">
        <f t="shared" si="14"/>
        <v>49.542933175461755</v>
      </c>
      <c r="K21" s="15">
        <f t="shared" si="26"/>
        <v>2018.2826729815297</v>
      </c>
      <c r="L21" s="15">
        <f t="shared" si="29"/>
        <v>0.2088624084707825</v>
      </c>
      <c r="M21" s="15">
        <f t="shared" si="27"/>
        <v>1596.7392929277587</v>
      </c>
    </row>
    <row r="22" spans="2:40" x14ac:dyDescent="0.3">
      <c r="B22" s="15">
        <v>17</v>
      </c>
      <c r="C22" s="15">
        <f t="shared" si="21"/>
        <v>3.5331890649064689E-2</v>
      </c>
      <c r="D22" s="15">
        <f t="shared" si="22"/>
        <v>12.896140086908611</v>
      </c>
      <c r="E22" s="15">
        <f t="shared" si="13"/>
        <v>2.1211814343205808E-5</v>
      </c>
      <c r="F22" s="15">
        <f t="shared" si="23"/>
        <v>7.7423122352701197E-3</v>
      </c>
      <c r="G22" s="15">
        <f t="shared" si="24"/>
        <v>12.896118875094269</v>
      </c>
      <c r="H22" s="15">
        <f t="shared" si="25"/>
        <v>64.480700434543053</v>
      </c>
      <c r="I22" s="15">
        <f t="shared" si="28"/>
        <v>2742.9946110992946</v>
      </c>
      <c r="J22" s="15">
        <f t="shared" si="14"/>
        <v>50.735595651477311</v>
      </c>
      <c r="K22" s="15">
        <f t="shared" si="26"/>
        <v>1970.5761739409074</v>
      </c>
      <c r="L22" s="15">
        <f t="shared" si="29"/>
        <v>0.22974864931786076</v>
      </c>
      <c r="M22" s="15">
        <f t="shared" si="27"/>
        <v>1517.8389596000261</v>
      </c>
    </row>
    <row r="23" spans="2:40" x14ac:dyDescent="0.3">
      <c r="B23" s="15">
        <v>18</v>
      </c>
      <c r="C23" s="15">
        <f t="shared" si="21"/>
        <v>3.1969616709228557E-2</v>
      </c>
      <c r="D23" s="15">
        <f t="shared" si="22"/>
        <v>11.668910098868423</v>
      </c>
      <c r="E23" s="15">
        <f t="shared" si="13"/>
        <v>1.9193243322164477E-5</v>
      </c>
      <c r="F23" s="15">
        <f t="shared" si="23"/>
        <v>7.0055338125900339E-3</v>
      </c>
      <c r="G23" s="15">
        <f t="shared" si="24"/>
        <v>11.668890905625101</v>
      </c>
      <c r="H23" s="15">
        <f t="shared" si="25"/>
        <v>58.344550494342116</v>
      </c>
      <c r="I23" s="15">
        <f t="shared" si="28"/>
        <v>2801.3391615936366</v>
      </c>
      <c r="J23" s="15">
        <f t="shared" si="14"/>
        <v>51.814761286863586</v>
      </c>
      <c r="K23" s="15">
        <f t="shared" si="26"/>
        <v>1927.4095485254566</v>
      </c>
      <c r="L23" s="15">
        <f t="shared" si="29"/>
        <v>0.25272351424964684</v>
      </c>
      <c r="M23" s="15">
        <f t="shared" si="27"/>
        <v>1440.3078340237778</v>
      </c>
    </row>
    <row r="24" spans="2:40" x14ac:dyDescent="0.3">
      <c r="B24" s="15">
        <v>19</v>
      </c>
      <c r="C24" s="15">
        <f t="shared" si="21"/>
        <v>2.892730543877764E-2</v>
      </c>
      <c r="D24" s="15">
        <f t="shared" si="22"/>
        <v>10.558466485153838</v>
      </c>
      <c r="E24" s="15">
        <f t="shared" si="13"/>
        <v>1.7366764731363228E-5</v>
      </c>
      <c r="F24" s="15">
        <f t="shared" si="23"/>
        <v>6.3388691269475788E-3</v>
      </c>
      <c r="G24" s="15">
        <f t="shared" si="24"/>
        <v>10.558449118389106</v>
      </c>
      <c r="H24" s="15">
        <f t="shared" si="25"/>
        <v>52.792332425769189</v>
      </c>
      <c r="I24" s="15">
        <f t="shared" si="28"/>
        <v>2854.1314940194056</v>
      </c>
      <c r="J24" s="15">
        <f t="shared" si="14"/>
        <v>52.791230734019656</v>
      </c>
      <c r="K24" s="15">
        <f t="shared" si="26"/>
        <v>1888.3507706392138</v>
      </c>
      <c r="L24" s="15">
        <f t="shared" si="29"/>
        <v>0.27799586567461154</v>
      </c>
      <c r="M24" s="15">
        <f t="shared" si="27"/>
        <v>1363.3970634580457</v>
      </c>
      <c r="N24" s="11" t="s">
        <v>28</v>
      </c>
      <c r="O24" s="11" t="s">
        <v>39</v>
      </c>
      <c r="P24" s="11" t="s">
        <v>72</v>
      </c>
      <c r="Q24" s="11" t="s">
        <v>73</v>
      </c>
      <c r="R24" s="11" t="s">
        <v>42</v>
      </c>
      <c r="S24" s="11" t="s">
        <v>43</v>
      </c>
      <c r="T24" s="11" t="s">
        <v>74</v>
      </c>
      <c r="U24" s="11" t="s">
        <v>45</v>
      </c>
      <c r="V24" s="11" t="s">
        <v>75</v>
      </c>
      <c r="W24" s="11" t="s">
        <v>76</v>
      </c>
      <c r="X24" s="11" t="s">
        <v>77</v>
      </c>
      <c r="Y24" s="11" t="s">
        <v>78</v>
      </c>
      <c r="Z24" s="11" t="s">
        <v>79</v>
      </c>
      <c r="AA24" s="11" t="s">
        <v>80</v>
      </c>
      <c r="AB24" s="11" t="s">
        <v>81</v>
      </c>
      <c r="AC24" s="11" t="s">
        <v>82</v>
      </c>
      <c r="AD24" s="11" t="s">
        <v>83</v>
      </c>
      <c r="AE24" s="11" t="s">
        <v>84</v>
      </c>
      <c r="AF24" s="11" t="s">
        <v>85</v>
      </c>
      <c r="AG24" s="11" t="s">
        <v>86</v>
      </c>
      <c r="AH24" s="11" t="s">
        <v>51</v>
      </c>
      <c r="AI24" s="11" t="s">
        <v>52</v>
      </c>
      <c r="AJ24" s="11" t="s">
        <v>53</v>
      </c>
      <c r="AK24" s="11" t="s">
        <v>87</v>
      </c>
      <c r="AL24" s="11" t="s">
        <v>88</v>
      </c>
      <c r="AM24" s="11" t="s">
        <v>56</v>
      </c>
      <c r="AN24" s="12" t="s">
        <v>89</v>
      </c>
    </row>
    <row r="25" spans="2:40" x14ac:dyDescent="0.3">
      <c r="B25" s="15">
        <v>20</v>
      </c>
      <c r="C25" s="15">
        <f t="shared" si="21"/>
        <v>2.6174508363961131E-2</v>
      </c>
      <c r="D25" s="15">
        <f t="shared" si="22"/>
        <v>9.553695552845813</v>
      </c>
      <c r="E25" s="15">
        <f t="shared" si="13"/>
        <v>1.571409855916467E-5</v>
      </c>
      <c r="F25" s="15">
        <f t="shared" si="23"/>
        <v>5.7356459740951051E-3</v>
      </c>
      <c r="G25" s="15">
        <f t="shared" si="24"/>
        <v>9.5536798387472537</v>
      </c>
      <c r="H25" s="15">
        <f t="shared" si="25"/>
        <v>47.768477764229061</v>
      </c>
      <c r="I25" s="15">
        <f t="shared" si="28"/>
        <v>2901.8999717836346</v>
      </c>
      <c r="J25" s="15">
        <f t="shared" si="14"/>
        <v>53.674776827375346</v>
      </c>
      <c r="K25" s="15">
        <f t="shared" si="26"/>
        <v>1853.0089269049861</v>
      </c>
      <c r="L25" s="15">
        <f t="shared" si="29"/>
        <v>0.30579545224207272</v>
      </c>
      <c r="M25" s="15">
        <f t="shared" si="27"/>
        <v>1286.3672240934779</v>
      </c>
      <c r="N25" s="14">
        <f t="shared" ref="N25:N33" si="30">B17</f>
        <v>12</v>
      </c>
      <c r="O25" s="14">
        <f t="shared" ref="O25:O33" si="31">(C17-E17)</f>
        <v>5.8217467277666128E-2</v>
      </c>
      <c r="P25" s="14">
        <f t="shared" ref="P25:P33" si="32">O25*$C$52*(10^6)/($C$50*86400)</f>
        <v>1.0156725479850479</v>
      </c>
      <c r="Q25" s="14">
        <f t="shared" ref="Q25:Q33" si="33">E17*(10^6)/($C$50*86400)</f>
        <v>0.13406599301486949</v>
      </c>
      <c r="R25" s="14">
        <f t="shared" si="15"/>
        <v>0.11660563531102774</v>
      </c>
      <c r="S25" s="14">
        <f t="shared" si="16"/>
        <v>1.1497385409999175</v>
      </c>
      <c r="T25" s="14">
        <f t="shared" ref="T25:T33" si="34">((S25)^2)/($C$51*$C$49)</f>
        <v>2.1733400151406581</v>
      </c>
      <c r="U25" s="14" t="s">
        <v>90</v>
      </c>
      <c r="V25" s="14">
        <f t="shared" ref="V25:V33" si="35">($V$45*(R25^$V$46))/(T25^$V$47)</f>
        <v>0.26401343385298359</v>
      </c>
      <c r="W25" s="14">
        <f t="shared" ref="W25:W33" si="36">($S$45*(R25^$S$46))/(T25^$S$47)</f>
        <v>0.32336698859868807</v>
      </c>
      <c r="X25" s="14">
        <f t="shared" ref="X25:X33" si="37">(1-R25)*LN($V$48*(R25^$V$49)*(3^$V$50)*(T25^$V$51))</f>
        <v>1.2603063430075986E-2</v>
      </c>
      <c r="Y25" s="14">
        <f t="shared" ref="Y25:Y33" si="38">(1-R25)*LN($S$48*(R25^$S$49)*(3^$S$50)*(T25^$S$51))</f>
        <v>5.4969297694408326</v>
      </c>
      <c r="Z25" s="14">
        <f>1+X25*(SIN(RADIANS(162))-0.333*(SIN(RADIANS(162)))^3)</f>
        <v>1.0037707189263061</v>
      </c>
      <c r="AA25" s="14">
        <f>1+Y25*(SIN(RADIANS(162))-0.333*(SIN(RADIANS(162)))^3)</f>
        <v>2.644630072141231</v>
      </c>
      <c r="AB25" s="14">
        <f>V25*Z25</f>
        <v>0.26500895430481208</v>
      </c>
      <c r="AC25" s="14">
        <f>W25*AA25</f>
        <v>0.85518606238584105</v>
      </c>
      <c r="AD25" s="14">
        <f t="shared" ref="AD25:AD33" si="39">($C$57-T25)/($C$57-$C$56)</f>
        <v>4.3328773990769377E-2</v>
      </c>
      <c r="AE25" s="14">
        <f>1-AD25</f>
        <v>0.9566712260092306</v>
      </c>
      <c r="AF25" s="14">
        <f>(AD25*AC25)+(AE25*AB25)</f>
        <v>0.29058060483538084</v>
      </c>
      <c r="AG25" s="14">
        <f t="shared" ref="AG25:AG33" si="40">((AF25*$U$53)+((1-AF25)*$U$56))</f>
        <v>360.20960050666076</v>
      </c>
      <c r="AH25" s="14">
        <f>(R25/((AF25)^2))</f>
        <v>1.3809765140189925</v>
      </c>
      <c r="AI25" s="14">
        <f t="shared" ref="AI25:AI33" si="41">(LN(AH25)/(-0.0523+(3.182*LN(AH25))-(0.8725*((AH25)^2))+(0.01853*(LN(AH25)^4))))</f>
        <v>-0.46854645609372109</v>
      </c>
      <c r="AJ25" s="14">
        <f t="shared" ref="AJ25:AJ33" si="42">$U$59*(EXP(AI25))</f>
        <v>1.0014582353446821E-2</v>
      </c>
      <c r="AK25" s="14">
        <f t="shared" ref="AK25:AK33" si="43">2*AJ25*AG25*(S25^2)*1990/(($C$49)*6894.76)</f>
        <v>44.396499427194129</v>
      </c>
      <c r="AL25" s="14">
        <f t="shared" ref="AL25:AL33" si="44">AG25*9.81*1990/6894.76</f>
        <v>1019.9014614186688</v>
      </c>
      <c r="AM25" s="14">
        <f t="shared" si="20"/>
        <v>1064.2979608458629</v>
      </c>
      <c r="AN25" s="14">
        <f t="shared" ref="AN25:AN33" si="45">M17-AM25</f>
        <v>877.45122262107225</v>
      </c>
    </row>
    <row r="26" spans="2:40" x14ac:dyDescent="0.3">
      <c r="N26" s="14">
        <f t="shared" si="30"/>
        <v>13</v>
      </c>
      <c r="O26" s="14">
        <f t="shared" si="31"/>
        <v>5.2677342776116375E-2</v>
      </c>
      <c r="P26" s="14">
        <f t="shared" si="32"/>
        <v>0.91901852588879474</v>
      </c>
      <c r="Q26" s="14">
        <f t="shared" si="33"/>
        <v>0.12130792696600148</v>
      </c>
      <c r="R26" s="14">
        <f t="shared" si="15"/>
        <v>0.11660563531102776</v>
      </c>
      <c r="S26" s="14">
        <f t="shared" si="16"/>
        <v>1.0403264528547962</v>
      </c>
      <c r="T26" s="14">
        <f t="shared" si="34"/>
        <v>1.7793803072906218</v>
      </c>
      <c r="U26" s="14" t="s">
        <v>90</v>
      </c>
      <c r="V26" s="14">
        <f t="shared" si="35"/>
        <v>0.26492850248995409</v>
      </c>
      <c r="W26" s="14">
        <f t="shared" si="36"/>
        <v>0.32902964920270505</v>
      </c>
      <c r="X26" s="14">
        <f t="shared" si="37"/>
        <v>-4.6761303432404809E-3</v>
      </c>
      <c r="Y26" s="14">
        <f t="shared" si="38"/>
        <v>5.7820894703624335</v>
      </c>
      <c r="Z26" s="14">
        <f t="shared" ref="Z26:AA33" si="46">1+X26*(SIN(RADIANS(162))-0.333*(SIN(RADIANS(162)))^3)</f>
        <v>0.99860094545386058</v>
      </c>
      <c r="AA26" s="14">
        <f t="shared" si="46"/>
        <v>2.729947192637419</v>
      </c>
      <c r="AB26" s="14">
        <f t="shared" ref="AB26:AC33" si="47">V26*Z26</f>
        <v>0.26455785306414359</v>
      </c>
      <c r="AC26" s="14">
        <f t="shared" si="47"/>
        <v>0.89823356713539948</v>
      </c>
      <c r="AD26" s="14">
        <f t="shared" si="39"/>
        <v>0.23299185929989888</v>
      </c>
      <c r="AE26" s="14">
        <f t="shared" ref="AE26:AE33" si="48">1-AD26</f>
        <v>0.76700814070010115</v>
      </c>
      <c r="AF26" s="14">
        <f t="shared" ref="AF26:AF33" si="49">(AD26*AC26)+(AE26*AB26)</f>
        <v>0.41219913587879664</v>
      </c>
      <c r="AG26" s="14">
        <f t="shared" si="40"/>
        <v>432.10973084872694</v>
      </c>
      <c r="AH26" s="14">
        <f t="shared" ref="AH26:AH33" si="50">(R26/((AF26)^2))</f>
        <v>0.68628638867910619</v>
      </c>
      <c r="AI26" s="14">
        <f t="shared" si="41"/>
        <v>0.22667919773939652</v>
      </c>
      <c r="AJ26" s="14">
        <f t="shared" si="42"/>
        <v>2.007083808391847E-2</v>
      </c>
      <c r="AK26" s="14">
        <f t="shared" si="43"/>
        <v>87.389903497428676</v>
      </c>
      <c r="AL26" s="14">
        <f t="shared" si="44"/>
        <v>1223.480288604065</v>
      </c>
      <c r="AM26" s="14">
        <f t="shared" si="20"/>
        <v>1310.8701921014936</v>
      </c>
      <c r="AN26" s="14">
        <f t="shared" si="45"/>
        <v>538.56801884038464</v>
      </c>
    </row>
    <row r="27" spans="2:40" x14ac:dyDescent="0.3">
      <c r="N27" s="14">
        <f t="shared" si="30"/>
        <v>14</v>
      </c>
      <c r="O27" s="14">
        <f t="shared" si="31"/>
        <v>4.7664430826536354E-2</v>
      </c>
      <c r="P27" s="14">
        <f t="shared" si="32"/>
        <v>0.83156235009243085</v>
      </c>
      <c r="Q27" s="14">
        <f t="shared" si="33"/>
        <v>0.10976395142321153</v>
      </c>
      <c r="R27" s="14">
        <f t="shared" si="15"/>
        <v>0.11660563531102774</v>
      </c>
      <c r="S27" s="14">
        <f t="shared" si="16"/>
        <v>0.94132630151564234</v>
      </c>
      <c r="T27" s="14">
        <f t="shared" si="34"/>
        <v>1.4568333790001822</v>
      </c>
      <c r="U27" s="14" t="s">
        <v>90</v>
      </c>
      <c r="V27" s="14">
        <f t="shared" si="35"/>
        <v>0.26584674274814912</v>
      </c>
      <c r="W27" s="14">
        <f t="shared" si="36"/>
        <v>0.33479147183082114</v>
      </c>
      <c r="X27" s="14">
        <f t="shared" si="37"/>
        <v>-2.1955324116556801E-2</v>
      </c>
      <c r="Y27" s="14">
        <f t="shared" si="38"/>
        <v>6.0672491712840335</v>
      </c>
      <c r="Z27" s="14">
        <f t="shared" si="46"/>
        <v>0.99343117198141495</v>
      </c>
      <c r="AA27" s="14">
        <f t="shared" si="46"/>
        <v>2.8152643131336061</v>
      </c>
      <c r="AB27" s="14">
        <f t="shared" si="47"/>
        <v>0.2641004412157355</v>
      </c>
      <c r="AC27" s="14">
        <f t="shared" si="47"/>
        <v>0.94252648298678576</v>
      </c>
      <c r="AD27" s="14">
        <f t="shared" si="39"/>
        <v>0.38827485996613487</v>
      </c>
      <c r="AE27" s="14">
        <f t="shared" si="48"/>
        <v>0.61172514003386513</v>
      </c>
      <c r="AF27" s="14">
        <f t="shared" si="49"/>
        <v>0.52751621758176925</v>
      </c>
      <c r="AG27" s="14">
        <f t="shared" si="40"/>
        <v>500.28448295250428</v>
      </c>
      <c r="AH27" s="14">
        <f t="shared" si="50"/>
        <v>0.41903269285245104</v>
      </c>
      <c r="AI27" s="14">
        <f t="shared" si="41"/>
        <v>0.29359379086559528</v>
      </c>
      <c r="AJ27" s="14">
        <f t="shared" si="42"/>
        <v>2.1459823511600334E-2</v>
      </c>
      <c r="AK27" s="14">
        <f t="shared" si="43"/>
        <v>88.569866136473706</v>
      </c>
      <c r="AL27" s="14">
        <f t="shared" si="44"/>
        <v>1416.5110384916218</v>
      </c>
      <c r="AM27" s="14">
        <f t="shared" si="20"/>
        <v>1505.0809046280956</v>
      </c>
      <c r="AN27" s="14">
        <f t="shared" si="45"/>
        <v>256.6526519382312</v>
      </c>
    </row>
    <row r="28" spans="2:40" x14ac:dyDescent="0.3">
      <c r="N28" s="14">
        <f t="shared" si="30"/>
        <v>15</v>
      </c>
      <c r="O28" s="14">
        <f t="shared" si="31"/>
        <v>4.3128560521236751E-2</v>
      </c>
      <c r="P28" s="14">
        <f t="shared" si="32"/>
        <v>0.7524287297935498</v>
      </c>
      <c r="Q28" s="14">
        <f t="shared" si="33"/>
        <v>9.93185303992032E-2</v>
      </c>
      <c r="R28" s="14">
        <f t="shared" si="15"/>
        <v>0.11660563531102772</v>
      </c>
      <c r="S28" s="14">
        <f t="shared" si="16"/>
        <v>0.85174726019275304</v>
      </c>
      <c r="T28" s="14">
        <f t="shared" si="34"/>
        <v>1.1927542894979601</v>
      </c>
      <c r="U28" s="14" t="s">
        <v>90</v>
      </c>
      <c r="V28" s="14">
        <f t="shared" si="35"/>
        <v>0.26676816562038463</v>
      </c>
      <c r="W28" s="14">
        <f t="shared" si="36"/>
        <v>0.34065419296482663</v>
      </c>
      <c r="X28" s="14">
        <f t="shared" si="37"/>
        <v>-3.923451788987304E-2</v>
      </c>
      <c r="Y28" s="14">
        <f t="shared" si="38"/>
        <v>6.3524088722056353</v>
      </c>
      <c r="Z28" s="14">
        <f t="shared" si="46"/>
        <v>0.98826139850896944</v>
      </c>
      <c r="AA28" s="14">
        <f t="shared" si="46"/>
        <v>2.9005814336297941</v>
      </c>
      <c r="AB28" s="14">
        <f t="shared" si="47"/>
        <v>0.26363668043367372</v>
      </c>
      <c r="AC28" s="14">
        <f t="shared" si="47"/>
        <v>0.98809522740191735</v>
      </c>
      <c r="AD28" s="14">
        <f t="shared" si="39"/>
        <v>0.51540982804181135</v>
      </c>
      <c r="AE28" s="14">
        <f t="shared" si="48"/>
        <v>0.48459017195818865</v>
      </c>
      <c r="AF28" s="14">
        <f t="shared" si="49"/>
        <v>0.63702973554999676</v>
      </c>
      <c r="AG28" s="14">
        <f t="shared" si="40"/>
        <v>565.02820373731515</v>
      </c>
      <c r="AH28" s="14">
        <f t="shared" si="50"/>
        <v>0.28734267435009891</v>
      </c>
      <c r="AI28" s="14">
        <f t="shared" si="41"/>
        <v>0.30809372901578497</v>
      </c>
      <c r="AJ28" s="14">
        <f t="shared" si="42"/>
        <v>2.1773256513260387E-2</v>
      </c>
      <c r="AK28" s="14">
        <f t="shared" si="43"/>
        <v>83.095485317476218</v>
      </c>
      <c r="AL28" s="14">
        <f t="shared" si="44"/>
        <v>1599.8271282161372</v>
      </c>
      <c r="AM28" s="14">
        <f t="shared" si="20"/>
        <v>1682.9226135336135</v>
      </c>
      <c r="AN28" s="14">
        <f t="shared" si="45"/>
        <v>-5.1482936521895226</v>
      </c>
    </row>
    <row r="29" spans="2:40" x14ac:dyDescent="0.3">
      <c r="N29" s="14">
        <f t="shared" si="30"/>
        <v>16</v>
      </c>
      <c r="O29" s="14">
        <f t="shared" si="31"/>
        <v>3.9024335345643479E-2</v>
      </c>
      <c r="P29" s="14">
        <f t="shared" si="32"/>
        <v>0.68082566912247233</v>
      </c>
      <c r="Q29" s="14">
        <f t="shared" si="33"/>
        <v>8.9867122609541009E-2</v>
      </c>
      <c r="R29" s="14">
        <f t="shared" ref="R29:R33" si="51">Q29/(Q29+P29)</f>
        <v>0.11660563531102774</v>
      </c>
      <c r="S29" s="14">
        <f t="shared" ref="S29:S33" si="52">Q29+P29</f>
        <v>0.77069279173201333</v>
      </c>
      <c r="T29" s="14">
        <f t="shared" si="34"/>
        <v>0.97654461767765821</v>
      </c>
      <c r="U29" s="14" t="s">
        <v>90</v>
      </c>
      <c r="V29" s="14">
        <f t="shared" si="35"/>
        <v>0.26769278213757791</v>
      </c>
      <c r="W29" s="14">
        <f t="shared" si="36"/>
        <v>0.34661957949501787</v>
      </c>
      <c r="X29" s="14">
        <f t="shared" si="37"/>
        <v>-5.6513711663189435E-2</v>
      </c>
      <c r="Y29" s="14">
        <f t="shared" si="38"/>
        <v>6.6375685731272336</v>
      </c>
      <c r="Z29" s="14">
        <f t="shared" si="46"/>
        <v>0.98309162503652392</v>
      </c>
      <c r="AA29" s="14">
        <f t="shared" si="46"/>
        <v>2.9858985541259808</v>
      </c>
      <c r="AB29" s="14">
        <f t="shared" si="47"/>
        <v>0.26316653220217961</v>
      </c>
      <c r="AC29" s="14">
        <f t="shared" si="47"/>
        <v>1.0349709012459294</v>
      </c>
      <c r="AD29" s="14">
        <f t="shared" si="39"/>
        <v>0.61949913619695507</v>
      </c>
      <c r="AE29" s="14">
        <f t="shared" si="48"/>
        <v>0.38050086380304493</v>
      </c>
      <c r="AF29" s="14">
        <f t="shared" si="49"/>
        <v>0.74129867213781853</v>
      </c>
      <c r="AG29" s="14">
        <f t="shared" si="40"/>
        <v>626.67136014591154</v>
      </c>
      <c r="AH29" s="14">
        <f t="shared" si="50"/>
        <v>0.2121939977993213</v>
      </c>
      <c r="AI29" s="14">
        <f t="shared" si="41"/>
        <v>0.3152545057701539</v>
      </c>
      <c r="AJ29" s="14">
        <f t="shared" si="42"/>
        <v>2.1929729507840619E-2</v>
      </c>
      <c r="AK29" s="14">
        <f t="shared" si="43"/>
        <v>75.997295758862805</v>
      </c>
      <c r="AL29" s="14">
        <f t="shared" si="44"/>
        <v>1774.3642455477018</v>
      </c>
      <c r="AM29" s="14">
        <f t="shared" ref="AM29:AM33" si="53">(AK29+AL29)</f>
        <v>1850.3615413065645</v>
      </c>
      <c r="AN29" s="14">
        <f t="shared" si="45"/>
        <v>-253.62224837880581</v>
      </c>
    </row>
    <row r="30" spans="2:40" x14ac:dyDescent="0.3">
      <c r="N30" s="14">
        <f t="shared" si="30"/>
        <v>17</v>
      </c>
      <c r="O30" s="14">
        <f t="shared" si="31"/>
        <v>3.5310678834721484E-2</v>
      </c>
      <c r="P30" s="14">
        <f t="shared" si="32"/>
        <v>0.61603654058138224</v>
      </c>
      <c r="Q30" s="14">
        <f t="shared" si="33"/>
        <v>8.1315135188338092E-2</v>
      </c>
      <c r="R30" s="14">
        <f t="shared" si="51"/>
        <v>0.11660563531102777</v>
      </c>
      <c r="S30" s="14">
        <f t="shared" si="52"/>
        <v>0.69735167576972035</v>
      </c>
      <c r="T30" s="14">
        <f t="shared" si="34"/>
        <v>0.79952711024547873</v>
      </c>
      <c r="U30" s="14" t="s">
        <v>90</v>
      </c>
      <c r="V30" s="14">
        <f t="shared" si="35"/>
        <v>0.26862060336887889</v>
      </c>
      <c r="W30" s="14">
        <f t="shared" si="36"/>
        <v>0.35268942925269758</v>
      </c>
      <c r="X30" s="14">
        <f t="shared" si="37"/>
        <v>-7.3792905436505726E-2</v>
      </c>
      <c r="Y30" s="14">
        <f t="shared" si="38"/>
        <v>6.9227282740488345</v>
      </c>
      <c r="Z30" s="14">
        <f t="shared" si="46"/>
        <v>0.97792185156407829</v>
      </c>
      <c r="AA30" s="14">
        <f t="shared" si="46"/>
        <v>3.0712156746221684</v>
      </c>
      <c r="AB30" s="14">
        <f t="shared" si="47"/>
        <v>0.2626899578147539</v>
      </c>
      <c r="AC30" s="14">
        <f t="shared" si="47"/>
        <v>1.0831853033944312</v>
      </c>
      <c r="AD30" s="14">
        <f t="shared" si="39"/>
        <v>0.70472025385018211</v>
      </c>
      <c r="AE30" s="14">
        <f t="shared" si="48"/>
        <v>0.29527974614981789</v>
      </c>
      <c r="AF30" s="14">
        <f t="shared" si="49"/>
        <v>0.84090964603455698</v>
      </c>
      <c r="AG30" s="14">
        <f t="shared" si="40"/>
        <v>685.56075755294739</v>
      </c>
      <c r="AH30" s="14">
        <f t="shared" si="50"/>
        <v>0.16490008174364287</v>
      </c>
      <c r="AI30" s="14">
        <f t="shared" si="41"/>
        <v>0.32095753980156572</v>
      </c>
      <c r="AJ30" s="14">
        <f t="shared" si="42"/>
        <v>2.2055152808253774E-2</v>
      </c>
      <c r="AK30" s="14">
        <f t="shared" si="43"/>
        <v>68.457674403814607</v>
      </c>
      <c r="AL30" s="14">
        <f t="shared" si="44"/>
        <v>1941.1043390738594</v>
      </c>
      <c r="AM30" s="14">
        <f t="shared" si="53"/>
        <v>2009.5620134776739</v>
      </c>
      <c r="AN30" s="14">
        <f t="shared" si="45"/>
        <v>-491.72305387764777</v>
      </c>
    </row>
    <row r="31" spans="2:40" x14ac:dyDescent="0.3">
      <c r="N31" s="14">
        <f t="shared" si="30"/>
        <v>18</v>
      </c>
      <c r="O31" s="14">
        <f t="shared" si="31"/>
        <v>3.1950423465906395E-2</v>
      </c>
      <c r="P31" s="14">
        <f t="shared" si="32"/>
        <v>0.55741291279546257</v>
      </c>
      <c r="Q31" s="14">
        <f t="shared" si="33"/>
        <v>7.3576976971060831E-2</v>
      </c>
      <c r="R31" s="14">
        <f t="shared" si="51"/>
        <v>0.11660563531102776</v>
      </c>
      <c r="S31" s="14">
        <f t="shared" si="52"/>
        <v>0.63098988976652337</v>
      </c>
      <c r="T31" s="14">
        <f t="shared" si="34"/>
        <v>0.65459743307754326</v>
      </c>
      <c r="U31" s="14" t="s">
        <v>90</v>
      </c>
      <c r="V31" s="14">
        <f t="shared" si="35"/>
        <v>0.26955164042180335</v>
      </c>
      <c r="W31" s="14">
        <f t="shared" si="36"/>
        <v>0.35886557155200027</v>
      </c>
      <c r="X31" s="14">
        <f t="shared" si="37"/>
        <v>-9.1072099209822011E-2</v>
      </c>
      <c r="Y31" s="14">
        <f t="shared" si="38"/>
        <v>7.2078879749704354</v>
      </c>
      <c r="Z31" s="14">
        <f t="shared" si="46"/>
        <v>0.97275207809163278</v>
      </c>
      <c r="AA31" s="14">
        <f t="shared" si="46"/>
        <v>3.1565327951183559</v>
      </c>
      <c r="AB31" s="14">
        <f t="shared" si="47"/>
        <v>0.26220691837331778</v>
      </c>
      <c r="AC31" s="14">
        <f t="shared" si="47"/>
        <v>1.1327709456427817</v>
      </c>
      <c r="AD31" s="14">
        <f t="shared" si="39"/>
        <v>0.77449340368455599</v>
      </c>
      <c r="AE31" s="14">
        <f t="shared" si="48"/>
        <v>0.22550659631544401</v>
      </c>
      <c r="AF31" s="14">
        <f t="shared" si="49"/>
        <v>0.93645301497857947</v>
      </c>
      <c r="AG31" s="14">
        <f t="shared" si="40"/>
        <v>742.0454118359612</v>
      </c>
      <c r="AH31" s="14">
        <f t="shared" si="50"/>
        <v>0.13296812814394476</v>
      </c>
      <c r="AI31" s="14">
        <f t="shared" si="41"/>
        <v>0.32643803437122265</v>
      </c>
      <c r="AJ31" s="14">
        <f t="shared" si="42"/>
        <v>2.2176357781677609E-2</v>
      </c>
      <c r="AK31" s="14">
        <f t="shared" si="43"/>
        <v>60.999732117154579</v>
      </c>
      <c r="AL31" s="14">
        <f t="shared" si="44"/>
        <v>2101.0356162245607</v>
      </c>
      <c r="AM31" s="14">
        <f t="shared" si="53"/>
        <v>2162.0353483417152</v>
      </c>
      <c r="AN31" s="14">
        <f t="shared" si="45"/>
        <v>-721.72751431793745</v>
      </c>
    </row>
    <row r="32" spans="2:40" x14ac:dyDescent="0.3">
      <c r="N32" s="14">
        <f t="shared" si="30"/>
        <v>19</v>
      </c>
      <c r="O32" s="14">
        <f t="shared" si="31"/>
        <v>2.8909938674046277E-2</v>
      </c>
      <c r="P32" s="14">
        <f t="shared" si="32"/>
        <v>0.50436806079374985</v>
      </c>
      <c r="Q32" s="14">
        <f t="shared" si="33"/>
        <v>6.6575201869385939E-2</v>
      </c>
      <c r="R32" s="14">
        <f t="shared" si="51"/>
        <v>0.11660563531102776</v>
      </c>
      <c r="S32" s="14">
        <f t="shared" si="52"/>
        <v>0.57094326266313578</v>
      </c>
      <c r="T32" s="14">
        <f t="shared" si="34"/>
        <v>0.53593904934649095</v>
      </c>
      <c r="U32" s="14" t="s">
        <v>90</v>
      </c>
      <c r="V32" s="14">
        <f t="shared" si="35"/>
        <v>0.27048590444236559</v>
      </c>
      <c r="W32" s="14">
        <f t="shared" si="36"/>
        <v>0.36514986774120561</v>
      </c>
      <c r="X32" s="14">
        <f t="shared" si="37"/>
        <v>-0.10835129298313825</v>
      </c>
      <c r="Y32" s="14">
        <f t="shared" si="38"/>
        <v>7.4930476758920346</v>
      </c>
      <c r="Z32" s="14">
        <f t="shared" si="46"/>
        <v>0.96758230461918726</v>
      </c>
      <c r="AA32" s="14">
        <f t="shared" si="46"/>
        <v>3.2418499156145431</v>
      </c>
      <c r="AB32" s="14">
        <f t="shared" si="47"/>
        <v>0.26171737478734936</v>
      </c>
      <c r="AC32" s="14">
        <f t="shared" si="47"/>
        <v>1.1837610679234889</v>
      </c>
      <c r="AD32" s="14">
        <f t="shared" si="39"/>
        <v>0.83161882719307567</v>
      </c>
      <c r="AE32" s="14">
        <f t="shared" si="48"/>
        <v>0.16838117280692433</v>
      </c>
      <c r="AF32" s="14">
        <f t="shared" si="49"/>
        <v>1.0285062694939979</v>
      </c>
      <c r="AG32" s="14">
        <f t="shared" si="40"/>
        <v>796.46673185426687</v>
      </c>
      <c r="AH32" s="14">
        <f t="shared" si="50"/>
        <v>0.1102314836333142</v>
      </c>
      <c r="AI32" s="14">
        <f t="shared" si="41"/>
        <v>0.3320249159979588</v>
      </c>
      <c r="AJ32" s="14">
        <f t="shared" si="42"/>
        <v>2.2300601211012391E-2</v>
      </c>
      <c r="AK32" s="14">
        <f t="shared" si="43"/>
        <v>53.905433053399669</v>
      </c>
      <c r="AL32" s="14">
        <f t="shared" si="44"/>
        <v>2255.1247458339103</v>
      </c>
      <c r="AM32" s="14">
        <f t="shared" si="53"/>
        <v>2309.0301788873098</v>
      </c>
      <c r="AN32" s="14">
        <f t="shared" si="45"/>
        <v>-945.63311542926408</v>
      </c>
    </row>
    <row r="33" spans="2:40" x14ac:dyDescent="0.3">
      <c r="N33" s="14">
        <f t="shared" si="30"/>
        <v>20</v>
      </c>
      <c r="O33" s="14">
        <f t="shared" si="31"/>
        <v>2.6158794265401967E-2</v>
      </c>
      <c r="P33" s="14">
        <f t="shared" si="32"/>
        <v>0.45637109386842056</v>
      </c>
      <c r="Q33" s="14">
        <f t="shared" si="33"/>
        <v>6.0239733764717966E-2</v>
      </c>
      <c r="R33" s="14">
        <f t="shared" si="51"/>
        <v>0.11660563531102776</v>
      </c>
      <c r="S33" s="14">
        <f t="shared" si="52"/>
        <v>0.51661082763313848</v>
      </c>
      <c r="T33" s="14">
        <f t="shared" si="34"/>
        <v>0.43878978147535025</v>
      </c>
      <c r="U33" s="14" t="s">
        <v>90</v>
      </c>
      <c r="V33" s="14">
        <f t="shared" si="35"/>
        <v>0.27142340661521203</v>
      </c>
      <c r="W33" s="14">
        <f t="shared" si="36"/>
        <v>0.3715442117637065</v>
      </c>
      <c r="X33" s="14">
        <f t="shared" si="37"/>
        <v>-0.12563048675645463</v>
      </c>
      <c r="Y33" s="14">
        <f t="shared" si="38"/>
        <v>7.7782073768136364</v>
      </c>
      <c r="Z33" s="14">
        <f t="shared" si="46"/>
        <v>0.96241253114674163</v>
      </c>
      <c r="AA33" s="14">
        <f t="shared" si="46"/>
        <v>3.3271670361107311</v>
      </c>
      <c r="AB33" s="14">
        <f t="shared" si="47"/>
        <v>0.26122128777301745</v>
      </c>
      <c r="AC33" s="14">
        <f t="shared" si="47"/>
        <v>1.2361896538379491</v>
      </c>
      <c r="AD33" s="14">
        <f t="shared" si="39"/>
        <v>0.87838916820210466</v>
      </c>
      <c r="AE33" s="14">
        <f t="shared" si="48"/>
        <v>0.12161083179789534</v>
      </c>
      <c r="AF33" s="14">
        <f t="shared" si="49"/>
        <v>1.1176229398641579</v>
      </c>
      <c r="AG33" s="14">
        <f t="shared" si="40"/>
        <v>849.15196131965229</v>
      </c>
      <c r="AH33" s="14">
        <f t="shared" si="50"/>
        <v>9.3353138809517441E-2</v>
      </c>
      <c r="AI33" s="14">
        <f t="shared" si="41"/>
        <v>0.33781932542471621</v>
      </c>
      <c r="AJ33" s="14">
        <f t="shared" si="42"/>
        <v>2.2430195122387992E-2</v>
      </c>
      <c r="AK33" s="14">
        <f t="shared" si="43"/>
        <v>47.326882733026252</v>
      </c>
      <c r="AL33" s="14">
        <f t="shared" si="44"/>
        <v>2404.2982893800686</v>
      </c>
      <c r="AM33" s="14">
        <f t="shared" si="53"/>
        <v>2451.6251721130948</v>
      </c>
      <c r="AN33" s="14">
        <f t="shared" si="45"/>
        <v>-1165.2579480196168</v>
      </c>
    </row>
    <row r="40" spans="2:40" ht="25.8" x14ac:dyDescent="0.5">
      <c r="B40" t="s">
        <v>91</v>
      </c>
      <c r="C40">
        <f>(C41+C42+C43+C44+C45+C46)/6</f>
        <v>1665.6703701718743</v>
      </c>
      <c r="Y40" s="16" t="s">
        <v>92</v>
      </c>
    </row>
    <row r="41" spans="2:40" x14ac:dyDescent="0.3">
      <c r="B41" t="s">
        <v>93</v>
      </c>
      <c r="C41">
        <f>230000/(900*0.158987)</f>
        <v>1607.3990675687669</v>
      </c>
    </row>
    <row r="42" spans="2:40" x14ac:dyDescent="0.3">
      <c r="B42" t="s">
        <v>94</v>
      </c>
      <c r="C42">
        <f>315000/(1000*0.158987)</f>
        <v>1981.2940680684585</v>
      </c>
    </row>
    <row r="43" spans="2:40" x14ac:dyDescent="0.3">
      <c r="B43" t="s">
        <v>95</v>
      </c>
      <c r="C43">
        <f>415000/(1400*0.158987)</f>
        <v>1864.4830799283679</v>
      </c>
      <c r="Y43" s="1" t="str">
        <f>B3</f>
        <v>YEAR</v>
      </c>
      <c r="Z43" s="1" t="s">
        <v>96</v>
      </c>
      <c r="AA43" s="1" t="s">
        <v>97</v>
      </c>
      <c r="AB43" s="1" t="s">
        <v>49</v>
      </c>
      <c r="AC43" s="1" t="s">
        <v>98</v>
      </c>
      <c r="AD43" s="1" t="s">
        <v>52</v>
      </c>
      <c r="AE43" s="1" t="s">
        <v>53</v>
      </c>
      <c r="AF43" s="1" t="s">
        <v>99</v>
      </c>
      <c r="AG43" s="1" t="s">
        <v>100</v>
      </c>
      <c r="AH43" s="1" t="s">
        <v>101</v>
      </c>
      <c r="AI43" s="1" t="s">
        <v>56</v>
      </c>
      <c r="AJ43" s="17" t="s">
        <v>89</v>
      </c>
    </row>
    <row r="44" spans="2:40" x14ac:dyDescent="0.3">
      <c r="B44" t="s">
        <v>102</v>
      </c>
      <c r="C44">
        <f>228000/(950*0.158987)</f>
        <v>1509.5573851950162</v>
      </c>
      <c r="R44" t="s">
        <v>103</v>
      </c>
      <c r="U44" t="s">
        <v>104</v>
      </c>
      <c r="Y44">
        <f t="shared" ref="Y44:Y54" si="54">B6</f>
        <v>1</v>
      </c>
      <c r="Z44">
        <f t="shared" ref="Z44:Z53" si="55">M6</f>
        <v>3575.5227552275524</v>
      </c>
      <c r="AA44" s="13">
        <f t="shared" ref="AA44:AA54" si="56">1+X5*(SIN(RADIANS(95.4))-0.333*(SIN(RADIANS(95.4)))^3)</f>
        <v>1.1351788065358277</v>
      </c>
      <c r="AB44">
        <f t="shared" ref="AB44:AB54" si="57">W5*AA44</f>
        <v>0.28851012047875801</v>
      </c>
      <c r="AC44">
        <f t="shared" ref="AC44:AC54" si="58">S5/(AB44^2)</f>
        <v>1.4008687110098821</v>
      </c>
      <c r="AD44">
        <f>(LN(AC44)/(-0.0523+(3.182*LN(AC44))-(0.8725*((AC44)^2))+(0.01853*(LN(AC44)^4))))</f>
        <v>-0.48737083541954401</v>
      </c>
      <c r="AE44">
        <f t="shared" ref="AE44:AE54" si="59">$U$59*(EXP(AD44))</f>
        <v>9.8278273447978941E-3</v>
      </c>
      <c r="AF44">
        <f t="shared" ref="AF44:AF54" si="60">((AB44*$U$53)+((1-AB44)*$U$56))</f>
        <v>358.98554284180341</v>
      </c>
      <c r="AG44">
        <f t="shared" ref="AG44:AG54" si="61">2*AE44*AF44*(T5^2)*2692/(($C$49)*6894.76)</f>
        <v>530.10868401827213</v>
      </c>
      <c r="AH44">
        <f t="shared" ref="AH44:AH54" si="62">AF44*9.81*1990/6894.76</f>
        <v>1016.4356509586123</v>
      </c>
      <c r="AI44">
        <f t="shared" ref="AI44:AI54" si="63">AG44+AH44</f>
        <v>1546.5443349768843</v>
      </c>
      <c r="AJ44">
        <f t="shared" ref="AJ44:AJ54" si="64">Z44-AI44</f>
        <v>2028.978420250668</v>
      </c>
    </row>
    <row r="45" spans="2:40" x14ac:dyDescent="0.3">
      <c r="B45" t="s">
        <v>105</v>
      </c>
      <c r="C45">
        <f>300000/(1250*0.158987)</f>
        <v>1509.557385195016</v>
      </c>
      <c r="R45" s="18" t="s">
        <v>106</v>
      </c>
      <c r="S45" s="18">
        <v>0.98</v>
      </c>
      <c r="U45" s="18" t="s">
        <v>106</v>
      </c>
      <c r="V45" s="18">
        <v>0.84499999999999997</v>
      </c>
      <c r="Y45">
        <f t="shared" si="54"/>
        <v>2</v>
      </c>
      <c r="Z45">
        <f t="shared" si="55"/>
        <v>3354.6578323195095</v>
      </c>
      <c r="AA45" s="13">
        <f t="shared" si="56"/>
        <v>1.1236540004651316</v>
      </c>
      <c r="AB45">
        <f t="shared" si="57"/>
        <v>0.28657086789689373</v>
      </c>
      <c r="AC45">
        <f t="shared" si="58"/>
        <v>1.419892487995229</v>
      </c>
      <c r="AD45">
        <f t="shared" ref="AD45:AD54" si="65">(LN(AC45)/(-0.0523+(3.182*LN(AC45))-(0.8725*((AC45)^2))+(0.01853*(LN(AC45)^4))))</f>
        <v>-0.5040609293188818</v>
      </c>
      <c r="AE45">
        <f t="shared" si="59"/>
        <v>9.6651612160633098E-3</v>
      </c>
      <c r="AF45">
        <f t="shared" si="60"/>
        <v>357.83906859806785</v>
      </c>
      <c r="AG45">
        <f t="shared" si="61"/>
        <v>425.46947020693375</v>
      </c>
      <c r="AH45">
        <f t="shared" si="62"/>
        <v>1013.1895110583429</v>
      </c>
      <c r="AI45">
        <f t="shared" si="63"/>
        <v>1438.6589812652767</v>
      </c>
      <c r="AJ45">
        <f t="shared" si="64"/>
        <v>1915.9988510542328</v>
      </c>
    </row>
    <row r="46" spans="2:40" x14ac:dyDescent="0.3">
      <c r="B46" t="s">
        <v>107</v>
      </c>
      <c r="C46">
        <f>375000/(1550*0.158987)</f>
        <v>1521.731235075621</v>
      </c>
      <c r="R46" s="18" t="s">
        <v>108</v>
      </c>
      <c r="S46" s="18">
        <v>0.48459999999999998</v>
      </c>
      <c r="U46" s="18" t="s">
        <v>108</v>
      </c>
      <c r="V46" s="18">
        <v>0.53510000000000002</v>
      </c>
      <c r="Y46">
        <f t="shared" si="54"/>
        <v>3</v>
      </c>
      <c r="Z46">
        <f t="shared" si="55"/>
        <v>3153.3782687136886</v>
      </c>
      <c r="AA46" s="13">
        <f t="shared" si="56"/>
        <v>1.1121291943944358</v>
      </c>
      <c r="AB46">
        <f t="shared" si="57"/>
        <v>0.28461470654190341</v>
      </c>
      <c r="AC46">
        <f t="shared" si="58"/>
        <v>1.4394774481759411</v>
      </c>
      <c r="AD46">
        <f t="shared" si="65"/>
        <v>-0.5198526176813143</v>
      </c>
      <c r="AE46">
        <f t="shared" si="59"/>
        <v>9.5137308199092947E-3</v>
      </c>
      <c r="AF46">
        <f t="shared" si="60"/>
        <v>356.68259799126776</v>
      </c>
      <c r="AG46">
        <f t="shared" si="61"/>
        <v>341.77904310006534</v>
      </c>
      <c r="AH46">
        <f t="shared" si="62"/>
        <v>1009.915067344727</v>
      </c>
      <c r="AI46">
        <f t="shared" si="63"/>
        <v>1351.6941104447924</v>
      </c>
      <c r="AJ46">
        <f t="shared" si="64"/>
        <v>1801.6841582688962</v>
      </c>
    </row>
    <row r="47" spans="2:40" x14ac:dyDescent="0.3">
      <c r="R47" s="18" t="s">
        <v>109</v>
      </c>
      <c r="S47" s="18">
        <v>8.6800000000000002E-2</v>
      </c>
      <c r="U47" s="18" t="s">
        <v>109</v>
      </c>
      <c r="V47" s="18">
        <v>1.7299999999999999E-2</v>
      </c>
      <c r="Y47">
        <f t="shared" si="54"/>
        <v>4</v>
      </c>
      <c r="Z47">
        <f t="shared" si="55"/>
        <v>2969.6720209368127</v>
      </c>
      <c r="AA47" s="13">
        <f t="shared" si="56"/>
        <v>1.10060438832374</v>
      </c>
      <c r="AB47">
        <f t="shared" si="57"/>
        <v>0.28264154249886408</v>
      </c>
      <c r="AC47">
        <f t="shared" si="58"/>
        <v>1.4596460298321052</v>
      </c>
      <c r="AD47">
        <f t="shared" si="65"/>
        <v>-0.5346049038656574</v>
      </c>
      <c r="AE47">
        <f t="shared" si="59"/>
        <v>9.3744117045619496E-3</v>
      </c>
      <c r="AF47">
        <f t="shared" si="60"/>
        <v>355.51607549947607</v>
      </c>
      <c r="AG47">
        <f t="shared" si="61"/>
        <v>274.82549479118381</v>
      </c>
      <c r="AH47">
        <f t="shared" si="62"/>
        <v>1006.6121626123639</v>
      </c>
      <c r="AI47">
        <f t="shared" si="63"/>
        <v>1281.4376574035477</v>
      </c>
      <c r="AJ47">
        <f t="shared" si="64"/>
        <v>1688.234363533265</v>
      </c>
    </row>
    <row r="48" spans="2:40" x14ac:dyDescent="0.3">
      <c r="B48" t="s">
        <v>110</v>
      </c>
      <c r="C48">
        <f>10812.9*0.5</f>
        <v>5406.45</v>
      </c>
      <c r="R48" s="18" t="s">
        <v>111</v>
      </c>
      <c r="S48" s="18">
        <v>1.0999999999999999E-2</v>
      </c>
      <c r="U48" s="18" t="s">
        <v>111</v>
      </c>
      <c r="V48" s="18">
        <v>2.96</v>
      </c>
      <c r="Y48">
        <f t="shared" si="54"/>
        <v>5</v>
      </c>
      <c r="Z48">
        <f t="shared" si="55"/>
        <v>2801.7037150493961</v>
      </c>
      <c r="AA48" s="13">
        <f t="shared" si="56"/>
        <v>1.0890795822530444</v>
      </c>
      <c r="AB48">
        <f t="shared" si="57"/>
        <v>0.28065128140496282</v>
      </c>
      <c r="AC48">
        <f t="shared" si="58"/>
        <v>1.4804218301903769</v>
      </c>
      <c r="AD48">
        <f t="shared" si="65"/>
        <v>-0.54818029424682924</v>
      </c>
      <c r="AE48">
        <f t="shared" si="59"/>
        <v>9.2480103213557398E-3</v>
      </c>
      <c r="AF48">
        <f t="shared" si="60"/>
        <v>354.33944533597605</v>
      </c>
      <c r="AG48">
        <f t="shared" si="61"/>
        <v>221.23949724157987</v>
      </c>
      <c r="AH48">
        <f t="shared" si="62"/>
        <v>1003.2806389061245</v>
      </c>
      <c r="AI48">
        <f t="shared" si="63"/>
        <v>1224.5201361477043</v>
      </c>
      <c r="AJ48">
        <f t="shared" si="64"/>
        <v>1577.1835789016918</v>
      </c>
    </row>
    <row r="49" spans="2:41" x14ac:dyDescent="0.3">
      <c r="B49" t="s">
        <v>112</v>
      </c>
      <c r="C49">
        <f>2.441*0.3048/12</f>
        <v>6.2001400000000005E-2</v>
      </c>
      <c r="R49" s="18" t="s">
        <v>113</v>
      </c>
      <c r="S49" s="18">
        <v>-3.7679999999999998</v>
      </c>
      <c r="U49" s="18" t="s">
        <v>113</v>
      </c>
      <c r="V49" s="18">
        <v>0.30499999999999999</v>
      </c>
      <c r="Y49">
        <f t="shared" si="54"/>
        <v>6</v>
      </c>
      <c r="Z49">
        <f t="shared" si="55"/>
        <v>2647.7963540359515</v>
      </c>
      <c r="AA49" s="13">
        <f t="shared" si="56"/>
        <v>1.0775547761823483</v>
      </c>
      <c r="AB49">
        <f t="shared" si="57"/>
        <v>0.27864382844751978</v>
      </c>
      <c r="AC49">
        <f t="shared" si="58"/>
        <v>1.5018296786814254</v>
      </c>
      <c r="AD49">
        <f t="shared" si="65"/>
        <v>-0.5604479427383795</v>
      </c>
      <c r="AE49">
        <f t="shared" si="59"/>
        <v>9.1352520351252967E-3</v>
      </c>
      <c r="AF49">
        <f t="shared" si="60"/>
        <v>353.15265144809234</v>
      </c>
      <c r="AG49">
        <f t="shared" si="61"/>
        <v>178.32776423812152</v>
      </c>
      <c r="AH49">
        <f t="shared" si="62"/>
        <v>999.92033751784163</v>
      </c>
      <c r="AI49">
        <f t="shared" si="63"/>
        <v>1178.248101755963</v>
      </c>
      <c r="AJ49">
        <f t="shared" si="64"/>
        <v>1469.5482522799884</v>
      </c>
    </row>
    <row r="50" spans="2:41" x14ac:dyDescent="0.3">
      <c r="B50" t="s">
        <v>114</v>
      </c>
      <c r="C50">
        <f>((2.441/12)^2)*PI()*(0.092903)/4</f>
        <v>3.0192055868214387E-3</v>
      </c>
      <c r="R50" s="18" t="s">
        <v>115</v>
      </c>
      <c r="S50" s="18">
        <v>3.5390000000000001</v>
      </c>
      <c r="U50" s="18" t="s">
        <v>115</v>
      </c>
      <c r="V50" s="18">
        <v>-0.44729999999999998</v>
      </c>
      <c r="Y50">
        <f t="shared" si="54"/>
        <v>7</v>
      </c>
      <c r="Z50">
        <f t="shared" si="55"/>
        <v>2506.4146179396139</v>
      </c>
      <c r="AA50" s="13">
        <f t="shared" si="56"/>
        <v>1.0660299701116525</v>
      </c>
      <c r="AB50">
        <f t="shared" si="57"/>
        <v>0.27661908836200433</v>
      </c>
      <c r="AC50">
        <f t="shared" si="58"/>
        <v>1.5238957156890889</v>
      </c>
      <c r="AD50">
        <f t="shared" si="65"/>
        <v>-0.57128686839310405</v>
      </c>
      <c r="AE50">
        <f t="shared" si="59"/>
        <v>9.0367703991967741E-3</v>
      </c>
      <c r="AF50">
        <f t="shared" si="60"/>
        <v>351.95563751601821</v>
      </c>
      <c r="AG50">
        <f t="shared" si="61"/>
        <v>143.93891922847598</v>
      </c>
      <c r="AH50">
        <f t="shared" si="62"/>
        <v>996.53109898298942</v>
      </c>
      <c r="AI50">
        <f t="shared" si="63"/>
        <v>1140.4700182114655</v>
      </c>
      <c r="AJ50">
        <f t="shared" si="64"/>
        <v>1365.9445997281484</v>
      </c>
    </row>
    <row r="51" spans="2:41" x14ac:dyDescent="0.3">
      <c r="B51" t="s">
        <v>116</v>
      </c>
      <c r="C51">
        <v>9.81</v>
      </c>
      <c r="R51" s="18" t="s">
        <v>117</v>
      </c>
      <c r="S51" s="18">
        <v>-1.6140000000000001</v>
      </c>
      <c r="U51" s="18" t="s">
        <v>117</v>
      </c>
      <c r="V51" s="18">
        <v>9.7799999999999998E-2</v>
      </c>
      <c r="Y51">
        <f t="shared" si="54"/>
        <v>8</v>
      </c>
      <c r="Z51">
        <f t="shared" si="55"/>
        <v>2376.1495903687301</v>
      </c>
      <c r="AA51" s="13">
        <f t="shared" si="56"/>
        <v>1.0545051640409568</v>
      </c>
      <c r="AB51">
        <f t="shared" si="57"/>
        <v>0.27457696543004062</v>
      </c>
      <c r="AC51">
        <f t="shared" si="58"/>
        <v>1.5466474772686241</v>
      </c>
      <c r="AD51">
        <f t="shared" si="65"/>
        <v>-0.58058911012870451</v>
      </c>
      <c r="AE51">
        <f t="shared" si="59"/>
        <v>8.9530979504657549E-3</v>
      </c>
      <c r="AF51">
        <f t="shared" si="60"/>
        <v>350.74834695163622</v>
      </c>
      <c r="AG51">
        <f t="shared" si="61"/>
        <v>116.35555867081528</v>
      </c>
      <c r="AH51">
        <f t="shared" si="62"/>
        <v>993.11276307734374</v>
      </c>
      <c r="AI51">
        <f t="shared" si="63"/>
        <v>1109.468321748159</v>
      </c>
      <c r="AJ51">
        <f t="shared" si="64"/>
        <v>1266.681268620571</v>
      </c>
    </row>
    <row r="52" spans="2:41" x14ac:dyDescent="0.3">
      <c r="B52" t="s">
        <v>118</v>
      </c>
      <c r="C52">
        <f>0.004551</f>
        <v>4.5510000000000004E-3</v>
      </c>
      <c r="Y52">
        <f t="shared" si="54"/>
        <v>9</v>
      </c>
      <c r="Z52">
        <f t="shared" si="55"/>
        <v>2255.7047593551656</v>
      </c>
      <c r="AA52" s="13">
        <f t="shared" si="56"/>
        <v>1.042980357970261</v>
      </c>
      <c r="AB52">
        <f t="shared" si="57"/>
        <v>0.27251736347740679</v>
      </c>
      <c r="AC52">
        <f t="shared" si="58"/>
        <v>1.5701139863586788</v>
      </c>
      <c r="AD52">
        <f t="shared" si="65"/>
        <v>-0.5882626721904507</v>
      </c>
      <c r="AE52">
        <f t="shared" si="59"/>
        <v>8.8846587198681218E-3</v>
      </c>
      <c r="AF52">
        <f t="shared" si="60"/>
        <v>349.53072289733575</v>
      </c>
      <c r="AG52">
        <f t="shared" si="61"/>
        <v>94.207477648786934</v>
      </c>
      <c r="AH52">
        <f t="shared" si="62"/>
        <v>989.66516881363509</v>
      </c>
      <c r="AI52">
        <f t="shared" si="63"/>
        <v>1083.8726464624219</v>
      </c>
      <c r="AJ52">
        <f t="shared" si="64"/>
        <v>1171.8321128927437</v>
      </c>
    </row>
    <row r="53" spans="2:41" x14ac:dyDescent="0.3">
      <c r="T53" t="s">
        <v>119</v>
      </c>
      <c r="U53">
        <v>779.61400000000003</v>
      </c>
      <c r="Y53">
        <f t="shared" si="54"/>
        <v>10</v>
      </c>
      <c r="Z53">
        <f t="shared" si="55"/>
        <v>2143.8831533823659</v>
      </c>
      <c r="AA53" s="13">
        <f t="shared" si="56"/>
        <v>1.0314555518995652</v>
      </c>
      <c r="AB53">
        <f t="shared" si="57"/>
        <v>0.27044018587202451</v>
      </c>
      <c r="AC53">
        <f t="shared" si="58"/>
        <v>1.5943258510642739</v>
      </c>
      <c r="AD53">
        <f t="shared" si="65"/>
        <v>-0.59423411366420831</v>
      </c>
      <c r="AE53">
        <f t="shared" si="59"/>
        <v>8.8317625905595526E-3</v>
      </c>
      <c r="AF53">
        <f t="shared" si="60"/>
        <v>348.3027082248243</v>
      </c>
      <c r="AG53">
        <f t="shared" si="61"/>
        <v>76.401979637034884</v>
      </c>
      <c r="AH53">
        <f t="shared" si="62"/>
        <v>986.18815443818164</v>
      </c>
      <c r="AI53">
        <f t="shared" si="63"/>
        <v>1062.5901340752166</v>
      </c>
      <c r="AJ53">
        <f t="shared" si="64"/>
        <v>1081.2930193071493</v>
      </c>
    </row>
    <row r="54" spans="2:41" x14ac:dyDescent="0.3">
      <c r="T54" t="s">
        <v>64</v>
      </c>
      <c r="Y54">
        <f t="shared" si="54"/>
        <v>11</v>
      </c>
      <c r="Z54">
        <f>M16</f>
        <v>2039.5754848550318</v>
      </c>
      <c r="AA54" s="13">
        <f t="shared" si="56"/>
        <v>1.0199307458288691</v>
      </c>
      <c r="AB54">
        <f t="shared" si="57"/>
        <v>0.26834533552194062</v>
      </c>
      <c r="AC54">
        <f t="shared" si="58"/>
        <v>1.6193153706465484</v>
      </c>
      <c r="AD54">
        <f t="shared" si="65"/>
        <v>-0.5984506463311926</v>
      </c>
      <c r="AE54">
        <f t="shared" si="59"/>
        <v>8.7946015754640349E-3</v>
      </c>
      <c r="AF54">
        <f t="shared" si="60"/>
        <v>347.06424553393401</v>
      </c>
      <c r="AG54">
        <f t="shared" si="61"/>
        <v>62.067967226529369</v>
      </c>
      <c r="AH54">
        <f t="shared" si="62"/>
        <v>982.68155742751105</v>
      </c>
      <c r="AI54">
        <f t="shared" si="63"/>
        <v>1044.7495246540404</v>
      </c>
      <c r="AJ54">
        <f t="shared" si="64"/>
        <v>994.8259602009914</v>
      </c>
    </row>
    <row r="55" spans="2:41" x14ac:dyDescent="0.3">
      <c r="B55" t="s">
        <v>120</v>
      </c>
      <c r="C55">
        <f>316*($S$5^0.302)</f>
        <v>165.13395540213452</v>
      </c>
      <c r="AA55" s="13"/>
    </row>
    <row r="56" spans="2:41" x14ac:dyDescent="0.3">
      <c r="B56" t="s">
        <v>121</v>
      </c>
      <c r="C56">
        <f>0.0009252*(S5^(-2.4684))</f>
        <v>0.18618518164818171</v>
      </c>
      <c r="T56" t="s">
        <v>122</v>
      </c>
      <c r="U56">
        <f>0.8575/$C$52</f>
        <v>188.42012744451768</v>
      </c>
      <c r="AA56" s="13"/>
    </row>
    <row r="57" spans="2:41" x14ac:dyDescent="0.3">
      <c r="B57" t="s">
        <v>123</v>
      </c>
      <c r="C57">
        <f>0.1*(S5^(-1.4516))</f>
        <v>2.2633406133861307</v>
      </c>
      <c r="T57" t="s">
        <v>64</v>
      </c>
      <c r="Y57" s="1">
        <f>B19</f>
        <v>14</v>
      </c>
      <c r="Z57" s="1" t="s">
        <v>96</v>
      </c>
      <c r="AA57" s="1" t="s">
        <v>124</v>
      </c>
      <c r="AB57" s="1" t="s">
        <v>125</v>
      </c>
      <c r="AC57" s="1" t="s">
        <v>81</v>
      </c>
      <c r="AD57" s="1" t="s">
        <v>82</v>
      </c>
      <c r="AE57" s="1" t="s">
        <v>83</v>
      </c>
      <c r="AF57" s="1" t="s">
        <v>84</v>
      </c>
      <c r="AG57" s="1" t="s">
        <v>126</v>
      </c>
      <c r="AH57" s="1" t="s">
        <v>98</v>
      </c>
      <c r="AI57" s="1" t="s">
        <v>52</v>
      </c>
      <c r="AJ57" s="1" t="s">
        <v>53</v>
      </c>
      <c r="AK57" s="1" t="s">
        <v>99</v>
      </c>
      <c r="AL57" s="1" t="s">
        <v>100</v>
      </c>
      <c r="AM57" s="1" t="s">
        <v>101</v>
      </c>
      <c r="AN57" s="1" t="s">
        <v>56</v>
      </c>
      <c r="AO57" s="17" t="s">
        <v>89</v>
      </c>
    </row>
    <row r="58" spans="2:41" x14ac:dyDescent="0.3">
      <c r="B58" t="s">
        <v>127</v>
      </c>
      <c r="C58">
        <f>0.5*(S5^(-6.738))</f>
        <v>971435.00124089827</v>
      </c>
      <c r="Y58">
        <f t="shared" ref="Y58:Y66" si="66">B17</f>
        <v>12</v>
      </c>
      <c r="Z58">
        <f t="shared" ref="Z58:Z66" si="67">M17</f>
        <v>1941.7491834669352</v>
      </c>
      <c r="AA58" s="13">
        <f>1+X25*(SIN(RADIANS(95.4))-0.333*(SIN(RADIANS(95.4)))^3)</f>
        <v>1.0084059397581735</v>
      </c>
      <c r="AB58" s="13">
        <f>1+Y25*(SIN(RADIANS(95.4))-0.333*(SIN(RADIANS(95.4)))^3)</f>
        <v>4.6663197605244369</v>
      </c>
      <c r="AC58">
        <f>V25*AA58</f>
        <v>0.2662327148733003</v>
      </c>
      <c r="AD58">
        <f>W25*AB58</f>
        <v>1.5089337687993385</v>
      </c>
      <c r="AE58">
        <f t="shared" ref="AE58:AE66" si="68">($C$57-T25)/($C$57-$C$56)</f>
        <v>4.3328773990769377E-2</v>
      </c>
      <c r="AF58">
        <f>1-AE58</f>
        <v>0.9566712260092306</v>
      </c>
      <c r="AG58">
        <f>(AE58*AD58)+(AF58*AC58)</f>
        <v>0.32007742797695249</v>
      </c>
      <c r="AH58">
        <f>R25/(AG58^2)</f>
        <v>1.1381760490182387</v>
      </c>
      <c r="AI58">
        <f t="shared" ref="AI58:AI66" si="69">(LN(AH58)/(-0.0523+(3.182*LN(AH58))-(0.8725*((AH58)^2))+(0.01853*(LN(AH58)^4))))</f>
        <v>-0.16792707160756934</v>
      </c>
      <c r="AJ58">
        <f t="shared" ref="AJ58:AJ66" si="70">$U$59*(EXP(AI58))</f>
        <v>1.3526647795663049E-2</v>
      </c>
      <c r="AK58">
        <f t="shared" ref="AK58:AK66" si="71">((AG58*$U$53)+((1-AG58)*$U$56))</f>
        <v>377.64794160781071</v>
      </c>
      <c r="AL58">
        <f t="shared" ref="AL58:AL66" si="72">2*AJ58*AK58*(S25^2)*2692/(($C$49)*6894.76)</f>
        <v>85.047173652859797</v>
      </c>
      <c r="AM58">
        <f t="shared" ref="AM58:AM66" si="73">AK58*9.81*1990/6894.76</f>
        <v>1069.2765739885826</v>
      </c>
      <c r="AN58">
        <f t="shared" ref="AN58:AN66" si="74">AL58+AM58</f>
        <v>1154.3237476414424</v>
      </c>
      <c r="AO58">
        <f t="shared" ref="AO58:AO66" si="75">Z58-AN58</f>
        <v>787.42543582549274</v>
      </c>
    </row>
    <row r="59" spans="2:41" x14ac:dyDescent="0.3">
      <c r="T59" t="s">
        <v>128</v>
      </c>
      <c r="U59">
        <v>1.6E-2</v>
      </c>
      <c r="Y59">
        <f t="shared" si="66"/>
        <v>13</v>
      </c>
      <c r="Z59">
        <f t="shared" si="67"/>
        <v>1849.4382109418782</v>
      </c>
      <c r="AA59" s="13">
        <f>1+X26*(SIN(RADIANS(95.4))-0.333*(SIN(RADIANS(95.4)))^3)</f>
        <v>0.99688113368747766</v>
      </c>
      <c r="AB59" s="13">
        <f t="shared" ref="AB59:AB66" si="76">1+Y26*(SIN(RADIANS(95.4))-0.333*(SIN(RADIANS(95.4)))^3)</f>
        <v>4.8565144128567796</v>
      </c>
      <c r="AC59">
        <f t="shared" ref="AC59:AD66" si="77">V26*AA59</f>
        <v>0.26410222590831117</v>
      </c>
      <c r="AD59">
        <f t="shared" si="77"/>
        <v>1.5979372336101474</v>
      </c>
      <c r="AE59">
        <f t="shared" si="68"/>
        <v>0.23299185929989888</v>
      </c>
      <c r="AF59">
        <f t="shared" ref="AF59:AF66" si="78">1-AE59</f>
        <v>0.76700814070010115</v>
      </c>
      <c r="AG59">
        <f t="shared" ref="AG59:AG66" si="79">(AE59*AD59)+(AF59*AC59)</f>
        <v>0.574874924352057</v>
      </c>
      <c r="AH59">
        <f t="shared" ref="AH59:AH66" si="80">R26/(AG59^2)</f>
        <v>0.35283593391849299</v>
      </c>
      <c r="AI59">
        <f t="shared" si="69"/>
        <v>0.30161167014208301</v>
      </c>
      <c r="AJ59">
        <f t="shared" si="70"/>
        <v>2.1632577420327363E-2</v>
      </c>
      <c r="AK59">
        <f t="shared" si="71"/>
        <v>528.28266020725027</v>
      </c>
      <c r="AL59">
        <f t="shared" si="72"/>
        <v>155.77519651998023</v>
      </c>
      <c r="AM59">
        <f t="shared" si="73"/>
        <v>1495.7853883673861</v>
      </c>
      <c r="AN59">
        <f t="shared" si="74"/>
        <v>1651.5605848873663</v>
      </c>
      <c r="AO59">
        <f t="shared" si="75"/>
        <v>197.87762605451189</v>
      </c>
    </row>
    <row r="60" spans="2:41" x14ac:dyDescent="0.3">
      <c r="Y60">
        <f t="shared" si="66"/>
        <v>14</v>
      </c>
      <c r="Z60">
        <f t="shared" si="67"/>
        <v>1761.7335565663268</v>
      </c>
      <c r="AA60" s="13">
        <f t="shared" ref="AA60:AA66" si="81">1+X27*(SIN(RADIANS(95.4))-0.333*(SIN(RADIANS(95.4)))^3)</f>
        <v>0.98535632761678171</v>
      </c>
      <c r="AB60" s="13">
        <f t="shared" si="76"/>
        <v>5.0467090651891215</v>
      </c>
      <c r="AC60">
        <f t="shared" si="77"/>
        <v>0.26195377014319954</v>
      </c>
      <c r="AD60">
        <f t="shared" si="77"/>
        <v>1.6895951558366136</v>
      </c>
      <c r="AE60">
        <f t="shared" si="68"/>
        <v>0.38827485996613487</v>
      </c>
      <c r="AF60">
        <f t="shared" si="78"/>
        <v>0.61172514003386513</v>
      </c>
      <c r="AG60">
        <f t="shared" si="79"/>
        <v>0.8162710292551687</v>
      </c>
      <c r="AH60">
        <f t="shared" si="80"/>
        <v>0.17500512758373188</v>
      </c>
      <c r="AI60">
        <f t="shared" si="69"/>
        <v>0.3195678287648146</v>
      </c>
      <c r="AJ60">
        <f t="shared" si="70"/>
        <v>2.202452380663918E-2</v>
      </c>
      <c r="AK60">
        <f t="shared" si="71"/>
        <v>670.99455828473026</v>
      </c>
      <c r="AL60">
        <f t="shared" si="72"/>
        <v>164.92645115217661</v>
      </c>
      <c r="AM60">
        <f t="shared" si="73"/>
        <v>1899.8614407722207</v>
      </c>
      <c r="AN60">
        <f t="shared" si="74"/>
        <v>2064.7878919243972</v>
      </c>
      <c r="AO60">
        <f t="shared" si="75"/>
        <v>-303.05433535807038</v>
      </c>
    </row>
    <row r="61" spans="2:41" x14ac:dyDescent="0.3">
      <c r="Y61">
        <f t="shared" si="66"/>
        <v>15</v>
      </c>
      <c r="Z61">
        <f t="shared" si="67"/>
        <v>1677.7743198814239</v>
      </c>
      <c r="AA61" s="13">
        <f t="shared" si="81"/>
        <v>0.97383152154608599</v>
      </c>
      <c r="AB61" s="13">
        <f t="shared" si="76"/>
        <v>5.2369037175214652</v>
      </c>
      <c r="AC61">
        <f t="shared" si="77"/>
        <v>0.25978724862615743</v>
      </c>
      <c r="AD61">
        <f t="shared" si="77"/>
        <v>1.7839732095267751</v>
      </c>
      <c r="AE61">
        <f t="shared" si="68"/>
        <v>0.51540982804181135</v>
      </c>
      <c r="AF61">
        <f t="shared" si="78"/>
        <v>0.48459017195818865</v>
      </c>
      <c r="AG61">
        <f t="shared" si="79"/>
        <v>1.0453676726376877</v>
      </c>
      <c r="AH61">
        <f t="shared" si="80"/>
        <v>0.1067041739683344</v>
      </c>
      <c r="AI61">
        <f t="shared" si="69"/>
        <v>0.33309046182950441</v>
      </c>
      <c r="AJ61">
        <f t="shared" si="70"/>
        <v>2.2324376188088121E-2</v>
      </c>
      <c r="AK61">
        <f t="shared" si="71"/>
        <v>806.43509007550404</v>
      </c>
      <c r="AL61">
        <f t="shared" si="72"/>
        <v>164.49573466235341</v>
      </c>
      <c r="AM61">
        <f t="shared" si="73"/>
        <v>2283.349265956318</v>
      </c>
      <c r="AN61">
        <f t="shared" si="74"/>
        <v>2447.8450006186713</v>
      </c>
      <c r="AO61">
        <f t="shared" si="75"/>
        <v>-770.07068073724736</v>
      </c>
    </row>
    <row r="62" spans="2:41" x14ac:dyDescent="0.3">
      <c r="Y62">
        <f t="shared" si="66"/>
        <v>16</v>
      </c>
      <c r="Z62">
        <f t="shared" si="67"/>
        <v>1596.7392929277587</v>
      </c>
      <c r="AA62" s="13">
        <f t="shared" si="81"/>
        <v>0.96230671547539004</v>
      </c>
      <c r="AB62" s="13">
        <f t="shared" si="76"/>
        <v>5.4270983698538062</v>
      </c>
      <c r="AC62">
        <f t="shared" si="77"/>
        <v>0.25760256193528175</v>
      </c>
      <c r="AD62">
        <f t="shared" si="77"/>
        <v>1.8811385548368234</v>
      </c>
      <c r="AE62">
        <f t="shared" si="68"/>
        <v>0.61949913619695507</v>
      </c>
      <c r="AF62">
        <f t="shared" si="78"/>
        <v>0.38050086380304493</v>
      </c>
      <c r="AG62">
        <f t="shared" si="79"/>
        <v>1.2633817071224525</v>
      </c>
      <c r="AH62">
        <f t="shared" si="80"/>
        <v>7.3055071617671968E-2</v>
      </c>
      <c r="AI62">
        <f t="shared" si="69"/>
        <v>0.34821017380059632</v>
      </c>
      <c r="AJ62">
        <f t="shared" si="70"/>
        <v>2.2664478974980837E-2</v>
      </c>
      <c r="AK62">
        <f t="shared" si="71"/>
        <v>935.32365139399656</v>
      </c>
      <c r="AL62">
        <f t="shared" si="72"/>
        <v>158.58227796392788</v>
      </c>
      <c r="AM62">
        <f t="shared" si="73"/>
        <v>2648.2857692143684</v>
      </c>
      <c r="AN62">
        <f t="shared" si="74"/>
        <v>2806.8680471782964</v>
      </c>
      <c r="AO62">
        <f t="shared" si="75"/>
        <v>-1210.1287542505377</v>
      </c>
    </row>
    <row r="63" spans="2:41" x14ac:dyDescent="0.3">
      <c r="Y63">
        <f t="shared" si="66"/>
        <v>17</v>
      </c>
      <c r="Z63">
        <f t="shared" si="67"/>
        <v>1517.8389596000261</v>
      </c>
      <c r="AA63" s="13">
        <f t="shared" si="81"/>
        <v>0.9507819094046942</v>
      </c>
      <c r="AB63" s="13">
        <f t="shared" si="76"/>
        <v>5.617293022186149</v>
      </c>
      <c r="AC63">
        <f t="shared" si="77"/>
        <v>0.2553996101765037</v>
      </c>
      <c r="AD63">
        <f t="shared" si="77"/>
        <v>1.9811598699399935</v>
      </c>
      <c r="AE63">
        <f t="shared" si="68"/>
        <v>0.70472025385018211</v>
      </c>
      <c r="AF63">
        <f t="shared" si="78"/>
        <v>0.29527974614981789</v>
      </c>
      <c r="AG63">
        <f t="shared" si="79"/>
        <v>1.4715778185215864</v>
      </c>
      <c r="AH63">
        <f t="shared" si="80"/>
        <v>5.3845953713849128E-2</v>
      </c>
      <c r="AI63">
        <f t="shared" si="69"/>
        <v>0.3651431816570867</v>
      </c>
      <c r="AJ63">
        <f t="shared" si="70"/>
        <v>2.3051524449578316E-2</v>
      </c>
      <c r="AK63">
        <f t="shared" si="71"/>
        <v>1058.4079167430432</v>
      </c>
      <c r="AL63">
        <f t="shared" si="72"/>
        <v>149.43104402310539</v>
      </c>
      <c r="AM63">
        <f t="shared" si="73"/>
        <v>2996.7879244333403</v>
      </c>
      <c r="AN63">
        <f t="shared" si="74"/>
        <v>3146.2189684564455</v>
      </c>
      <c r="AO63">
        <f t="shared" si="75"/>
        <v>-1628.3800088564194</v>
      </c>
    </row>
    <row r="64" spans="2:41" x14ac:dyDescent="0.3">
      <c r="Y64">
        <f t="shared" si="66"/>
        <v>18</v>
      </c>
      <c r="Z64">
        <f t="shared" si="67"/>
        <v>1440.3078340237778</v>
      </c>
      <c r="AA64" s="13">
        <f t="shared" si="81"/>
        <v>0.93925710333399837</v>
      </c>
      <c r="AB64" s="13">
        <f t="shared" si="76"/>
        <v>5.8074876745184918</v>
      </c>
      <c r="AC64">
        <f t="shared" si="77"/>
        <v>0.25317829298151051</v>
      </c>
      <c r="AD64">
        <f t="shared" si="77"/>
        <v>2.0841073835972757</v>
      </c>
      <c r="AE64">
        <f t="shared" si="68"/>
        <v>0.77449340368455599</v>
      </c>
      <c r="AF64">
        <f t="shared" si="78"/>
        <v>0.22550659631544401</v>
      </c>
      <c r="AG64">
        <f t="shared" si="79"/>
        <v>1.6712207962775831</v>
      </c>
      <c r="AH64">
        <f t="shared" si="80"/>
        <v>4.1749557516270165E-2</v>
      </c>
      <c r="AI64">
        <f t="shared" si="69"/>
        <v>0.3838363384387336</v>
      </c>
      <c r="AJ64">
        <f t="shared" si="70"/>
        <v>2.3486482917887696E-2</v>
      </c>
      <c r="AK64">
        <f t="shared" si="71"/>
        <v>1176.4356218911189</v>
      </c>
      <c r="AL64">
        <f t="shared" si="72"/>
        <v>138.55281562259128</v>
      </c>
      <c r="AM64">
        <f t="shared" si="73"/>
        <v>3330.97287896841</v>
      </c>
      <c r="AN64">
        <f t="shared" si="74"/>
        <v>3469.5256945910014</v>
      </c>
      <c r="AO64">
        <f t="shared" si="75"/>
        <v>-2029.2178605672236</v>
      </c>
    </row>
    <row r="65" spans="11:41" x14ac:dyDescent="0.3">
      <c r="Y65">
        <f t="shared" si="66"/>
        <v>19</v>
      </c>
      <c r="Z65">
        <f t="shared" si="67"/>
        <v>1363.3970634580457</v>
      </c>
      <c r="AA65" s="13">
        <f t="shared" si="81"/>
        <v>0.92773229726330264</v>
      </c>
      <c r="AB65" s="13">
        <f t="shared" si="76"/>
        <v>5.9976823268508328</v>
      </c>
      <c r="AC65">
        <f t="shared" si="77"/>
        <v>0.25093850950565799</v>
      </c>
      <c r="AD65">
        <f t="shared" si="77"/>
        <v>2.1900529084033478</v>
      </c>
      <c r="AE65">
        <f t="shared" si="68"/>
        <v>0.83161882719307567</v>
      </c>
      <c r="AF65">
        <f t="shared" si="78"/>
        <v>0.16838117280692433</v>
      </c>
      <c r="AG65">
        <f t="shared" si="79"/>
        <v>1.8635425517101607</v>
      </c>
      <c r="AH65">
        <f t="shared" si="80"/>
        <v>3.3576924328307167E-2</v>
      </c>
      <c r="AI65">
        <f t="shared" si="69"/>
        <v>0.40431824733242816</v>
      </c>
      <c r="AJ65">
        <f t="shared" si="70"/>
        <v>2.3972491118825909E-2</v>
      </c>
      <c r="AK65">
        <f t="shared" si="71"/>
        <v>1290.1350652619728</v>
      </c>
      <c r="AL65">
        <f t="shared" si="72"/>
        <v>126.97512600498023</v>
      </c>
      <c r="AM65">
        <f t="shared" si="73"/>
        <v>3652.9027450611347</v>
      </c>
      <c r="AN65">
        <f t="shared" si="74"/>
        <v>3779.8778710661149</v>
      </c>
      <c r="AO65">
        <f t="shared" si="75"/>
        <v>-2416.480807608069</v>
      </c>
    </row>
    <row r="66" spans="11:41" x14ac:dyDescent="0.3">
      <c r="Y66">
        <f t="shared" si="66"/>
        <v>20</v>
      </c>
      <c r="Z66">
        <f t="shared" si="67"/>
        <v>1286.3672240934779</v>
      </c>
      <c r="AA66" s="13">
        <f t="shared" si="81"/>
        <v>0.91620749119260669</v>
      </c>
      <c r="AB66" s="13">
        <f t="shared" si="76"/>
        <v>6.1878769791831765</v>
      </c>
      <c r="AC66">
        <f t="shared" si="77"/>
        <v>0.24868015842587418</v>
      </c>
      <c r="AD66">
        <f t="shared" si="77"/>
        <v>2.2990698747213987</v>
      </c>
      <c r="AE66">
        <f t="shared" si="68"/>
        <v>0.87838916820210466</v>
      </c>
      <c r="AF66">
        <f t="shared" si="78"/>
        <v>0.12161083179789534</v>
      </c>
      <c r="AG66">
        <f t="shared" si="79"/>
        <v>2.0497202758128497</v>
      </c>
      <c r="AH66">
        <f t="shared" si="80"/>
        <v>2.7754304270125575E-2</v>
      </c>
      <c r="AI66">
        <f t="shared" si="69"/>
        <v>0.42671968907679353</v>
      </c>
      <c r="AJ66">
        <f t="shared" si="70"/>
        <v>2.4515569642389108E-2</v>
      </c>
      <c r="AK66">
        <f t="shared" si="71"/>
        <v>1400.2021949578077</v>
      </c>
      <c r="AL66">
        <f t="shared" si="72"/>
        <v>115.38361819810369</v>
      </c>
      <c r="AM66">
        <f t="shared" si="73"/>
        <v>3964.5480378935349</v>
      </c>
      <c r="AN66">
        <f t="shared" si="74"/>
        <v>4079.9316560916386</v>
      </c>
      <c r="AO66">
        <f t="shared" si="75"/>
        <v>-2793.5644319981607</v>
      </c>
    </row>
    <row r="76" spans="11:41" x14ac:dyDescent="0.3"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11:41" x14ac:dyDescent="0.3"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Z77" s="4" t="s">
        <v>129</v>
      </c>
      <c r="AA77" s="4" t="s">
        <v>130</v>
      </c>
    </row>
    <row r="78" spans="11:41" x14ac:dyDescent="0.3"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4" t="s">
        <v>28</v>
      </c>
      <c r="V78" s="4" t="s">
        <v>43</v>
      </c>
      <c r="W78" s="4" t="s">
        <v>51</v>
      </c>
      <c r="X78" s="4" t="s">
        <v>52</v>
      </c>
      <c r="Y78" s="4" t="s">
        <v>53</v>
      </c>
      <c r="Z78" s="19" t="s">
        <v>54</v>
      </c>
      <c r="AA78" s="1" t="s">
        <v>131</v>
      </c>
    </row>
    <row r="79" spans="11:41" x14ac:dyDescent="0.3"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4"/>
      <c r="V79" s="4"/>
      <c r="W79" s="4"/>
      <c r="X79" s="4"/>
      <c r="Y79" s="4"/>
      <c r="Z79" s="4" t="s">
        <v>65</v>
      </c>
      <c r="AA79" s="4" t="s">
        <v>65</v>
      </c>
      <c r="AB79" s="13"/>
      <c r="AC79" s="13"/>
      <c r="AD79" s="13"/>
    </row>
    <row r="80" spans="11:41" x14ac:dyDescent="0.3"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20">
        <v>1</v>
      </c>
      <c r="V80" s="20">
        <v>3.4540054612936948</v>
      </c>
      <c r="W80" s="20">
        <v>1.6046910578131341</v>
      </c>
      <c r="X80" s="20">
        <v>-0.5962151834506596</v>
      </c>
      <c r="Y80" s="20">
        <v>8.8142835718248071E-3</v>
      </c>
      <c r="Z80" s="20">
        <v>340.49203667377134</v>
      </c>
      <c r="AA80" s="21">
        <v>530.10868401827213</v>
      </c>
      <c r="AB80" s="13"/>
      <c r="AC80" s="13"/>
      <c r="AD80" s="13"/>
    </row>
    <row r="81" spans="11:30" x14ac:dyDescent="0.3">
      <c r="K81" s="13"/>
      <c r="L81" s="13"/>
      <c r="U81" s="20">
        <v>2</v>
      </c>
      <c r="V81" s="20">
        <v>3.12531338347909</v>
      </c>
      <c r="W81" s="20">
        <v>1.6092745801996502</v>
      </c>
      <c r="X81" s="20">
        <v>-0.5969852237505634</v>
      </c>
      <c r="Y81" s="20">
        <v>8.8074988308569652E-3</v>
      </c>
      <c r="Z81" s="20">
        <v>278.37481397799581</v>
      </c>
      <c r="AA81" s="21">
        <v>425.46947020693375</v>
      </c>
      <c r="AB81" s="13"/>
      <c r="AC81" s="13"/>
      <c r="AD81" s="13"/>
    </row>
    <row r="82" spans="11:30" x14ac:dyDescent="0.3">
      <c r="U82" s="20">
        <v>3</v>
      </c>
      <c r="V82" s="20">
        <v>2.8279004924604489</v>
      </c>
      <c r="W82" s="20">
        <v>1.613948634921452</v>
      </c>
      <c r="X82" s="20">
        <v>-0.59770485129917439</v>
      </c>
      <c r="Y82" s="20">
        <v>8.8011629920594168E-3</v>
      </c>
      <c r="Z82" s="20">
        <v>227.59895652662451</v>
      </c>
      <c r="AA82" s="21">
        <v>341.77904310006534</v>
      </c>
      <c r="AB82" s="13"/>
      <c r="AC82" s="13"/>
      <c r="AD82" s="13"/>
    </row>
    <row r="83" spans="11:30" x14ac:dyDescent="0.3">
      <c r="U83" s="20">
        <v>4</v>
      </c>
      <c r="V83" s="20">
        <v>2.5587901800605315</v>
      </c>
      <c r="W83" s="20">
        <v>1.6187147006506468</v>
      </c>
      <c r="X83" s="20">
        <v>-0.59837140612257445</v>
      </c>
      <c r="Y83" s="20">
        <v>8.795298489139014E-3</v>
      </c>
      <c r="Z83" s="20">
        <v>186.09258085629142</v>
      </c>
      <c r="AA83" s="21">
        <v>274.82549479118381</v>
      </c>
      <c r="AB83" s="13"/>
      <c r="AC83" s="13"/>
      <c r="AD83" s="13"/>
    </row>
    <row r="84" spans="11:30" x14ac:dyDescent="0.3">
      <c r="K84" s="4" t="s">
        <v>28</v>
      </c>
      <c r="L84" s="4" t="s">
        <v>38</v>
      </c>
      <c r="M84" s="4" t="s">
        <v>54</v>
      </c>
      <c r="N84" s="4" t="s">
        <v>55</v>
      </c>
      <c r="O84" s="4" t="s">
        <v>56</v>
      </c>
      <c r="P84" s="4" t="s">
        <v>57</v>
      </c>
      <c r="U84" s="20">
        <v>5</v>
      </c>
      <c r="V84" s="20">
        <v>2.3152890998217388</v>
      </c>
      <c r="W84" s="20">
        <v>1.6235742919388612</v>
      </c>
      <c r="X84" s="20">
        <v>-0.5989822021573431</v>
      </c>
      <c r="Y84" s="20">
        <v>8.7899279960021639E-3</v>
      </c>
      <c r="Z84" s="20">
        <v>152.1624342662447</v>
      </c>
      <c r="AA84" s="21">
        <v>221.23949724157987</v>
      </c>
    </row>
    <row r="85" spans="11:30" x14ac:dyDescent="0.3">
      <c r="K85" s="4"/>
      <c r="L85" s="4" t="s">
        <v>70</v>
      </c>
      <c r="M85" s="4" t="s">
        <v>65</v>
      </c>
      <c r="N85" s="4" t="s">
        <v>66</v>
      </c>
      <c r="O85" s="4" t="s">
        <v>66</v>
      </c>
      <c r="P85" s="4" t="s">
        <v>66</v>
      </c>
      <c r="U85" s="20">
        <v>6</v>
      </c>
      <c r="V85" s="20">
        <v>2.0949602110895036</v>
      </c>
      <c r="W85" s="20">
        <v>1.6285289602498043</v>
      </c>
      <c r="X85" s="20">
        <v>-0.59953453084082753</v>
      </c>
      <c r="Y85" s="20">
        <v>8.7850744071557661E-3</v>
      </c>
      <c r="Z85" s="20">
        <v>124.42469121039693</v>
      </c>
      <c r="AA85" s="21">
        <v>178.32776423812152</v>
      </c>
    </row>
    <row r="86" spans="11:30" x14ac:dyDescent="0.3">
      <c r="K86" s="20">
        <v>1</v>
      </c>
      <c r="L86" s="22">
        <v>3575.5227552275524</v>
      </c>
      <c r="M86" s="22">
        <v>530.10868401827213</v>
      </c>
      <c r="N86" s="22">
        <v>1016.4356509586123</v>
      </c>
      <c r="O86" s="22">
        <v>1546.5443349768843</v>
      </c>
      <c r="P86" s="22">
        <v>2028.978420250668</v>
      </c>
      <c r="U86" s="20">
        <v>7</v>
      </c>
      <c r="V86" s="20">
        <v>1.8955983882902947</v>
      </c>
      <c r="W86" s="20">
        <v>1.6335802950272573</v>
      </c>
      <c r="X86" s="20">
        <v>-0.60002566494894038</v>
      </c>
      <c r="Y86" s="20">
        <v>8.7807608168344788E-3</v>
      </c>
      <c r="Z86" s="20">
        <v>101.74839777509366</v>
      </c>
      <c r="AA86" s="21">
        <v>143.93891922847598</v>
      </c>
    </row>
    <row r="87" spans="11:30" x14ac:dyDescent="0.3">
      <c r="K87" s="20">
        <v>2</v>
      </c>
      <c r="L87" s="22">
        <v>3354.6578323195095</v>
      </c>
      <c r="M87" s="22">
        <v>425.46947020693375</v>
      </c>
      <c r="N87" s="22">
        <v>1013.1895110583429</v>
      </c>
      <c r="O87" s="22">
        <v>1438.6589812652767</v>
      </c>
      <c r="P87" s="22">
        <v>1915.9988510542328</v>
      </c>
      <c r="U87" s="20">
        <v>8</v>
      </c>
      <c r="V87" s="20">
        <v>1.7152083512937168</v>
      </c>
      <c r="W87" s="20">
        <v>1.6387299247998814</v>
      </c>
      <c r="X87" s="20">
        <v>-0.60045286268225295</v>
      </c>
      <c r="Y87" s="20">
        <v>8.7770104968379024E-3</v>
      </c>
      <c r="Z87" s="20">
        <v>83.209253055717724</v>
      </c>
      <c r="AA87" s="21">
        <v>116.35555867081528</v>
      </c>
    </row>
    <row r="88" spans="11:30" x14ac:dyDescent="0.3">
      <c r="K88" s="20">
        <v>3</v>
      </c>
      <c r="L88" s="22">
        <v>3153.3782687136886</v>
      </c>
      <c r="M88" s="22">
        <v>341.77904310006534</v>
      </c>
      <c r="N88" s="22">
        <v>1009.915067344727</v>
      </c>
      <c r="O88" s="22">
        <v>1351.6941104447924</v>
      </c>
      <c r="P88" s="22">
        <v>1801.6841582688962</v>
      </c>
      <c r="U88" s="20">
        <v>9</v>
      </c>
      <c r="V88" s="20">
        <v>1.5519846959783219</v>
      </c>
      <c r="W88" s="20">
        <v>1.6439795183243131</v>
      </c>
      <c r="X88" s="20">
        <v>-0.60081337199997642</v>
      </c>
      <c r="Y88" s="20">
        <v>8.7738468730642252E-3</v>
      </c>
      <c r="Z88" s="20">
        <v>68.051838428187068</v>
      </c>
      <c r="AA88" s="21">
        <v>94.207477648786934</v>
      </c>
    </row>
    <row r="89" spans="11:30" x14ac:dyDescent="0.3">
      <c r="K89" s="20">
        <v>4</v>
      </c>
      <c r="L89" s="22">
        <v>2969.6720209368127</v>
      </c>
      <c r="M89" s="22">
        <v>274.82549479118381</v>
      </c>
      <c r="N89" s="22">
        <v>1006.6121626123639</v>
      </c>
      <c r="O89" s="22">
        <v>1281.4376574035477</v>
      </c>
      <c r="P89" s="22">
        <v>1688.234363533265</v>
      </c>
      <c r="U89" s="20">
        <v>10</v>
      </c>
      <c r="V89" s="20">
        <v>1.4042938251403485</v>
      </c>
      <c r="W89" s="20">
        <v>1.6493307857680717</v>
      </c>
      <c r="X89" s="20">
        <v>-0.60110443520010348</v>
      </c>
      <c r="Y89" s="20">
        <v>8.7712935007303143E-3</v>
      </c>
      <c r="Z89" s="20">
        <v>55.658750808854116</v>
      </c>
      <c r="AA89" s="21">
        <v>76.401979637034884</v>
      </c>
    </row>
    <row r="90" spans="11:30" x14ac:dyDescent="0.3">
      <c r="K90" s="20">
        <v>5</v>
      </c>
      <c r="L90" s="22">
        <v>2801.7037150493961</v>
      </c>
      <c r="M90" s="22">
        <v>221.23949724157987</v>
      </c>
      <c r="N90" s="22">
        <v>1003.2806389061245</v>
      </c>
      <c r="O90" s="22">
        <v>1224.5201361477043</v>
      </c>
      <c r="P90" s="22">
        <v>1577.1835789016918</v>
      </c>
      <c r="U90" s="20">
        <v>11</v>
      </c>
      <c r="V90" s="20">
        <v>1.270657598903834</v>
      </c>
      <c r="W90" s="20">
        <v>1.654785479933901</v>
      </c>
      <c r="X90" s="20">
        <v>-0.60132329374260429</v>
      </c>
      <c r="Y90" s="20">
        <v>8.7693740382719359E-3</v>
      </c>
      <c r="Z90" s="20">
        <v>45.525378075579837</v>
      </c>
      <c r="AA90" s="21">
        <v>62.067967226529369</v>
      </c>
    </row>
    <row r="91" spans="11:30" x14ac:dyDescent="0.3">
      <c r="K91" s="20">
        <v>6</v>
      </c>
      <c r="L91" s="22">
        <v>2647.7963540359515</v>
      </c>
      <c r="M91" s="22">
        <v>178.32776423812152</v>
      </c>
      <c r="N91" s="22">
        <v>999.92033751784163</v>
      </c>
      <c r="O91" s="22">
        <v>1178.248101755963</v>
      </c>
      <c r="P91" s="22">
        <v>1469.5482522799884</v>
      </c>
      <c r="U91" s="20">
        <v>12</v>
      </c>
      <c r="V91" s="20">
        <v>1.1497385409999175</v>
      </c>
      <c r="W91" s="20">
        <v>1.3809765140189925</v>
      </c>
      <c r="X91" s="20">
        <v>-0.46854645609372109</v>
      </c>
      <c r="Y91" s="20">
        <v>1.0014582353446821E-2</v>
      </c>
      <c r="Z91" s="20">
        <v>44.396499427194129</v>
      </c>
      <c r="AA91" s="21">
        <v>85.047173652859797</v>
      </c>
    </row>
    <row r="92" spans="11:30" x14ac:dyDescent="0.3">
      <c r="K92" s="20">
        <v>7</v>
      </c>
      <c r="L92" s="22">
        <v>2506.4146179396139</v>
      </c>
      <c r="M92" s="22">
        <v>143.93891922847598</v>
      </c>
      <c r="N92" s="22">
        <v>996.53109898298942</v>
      </c>
      <c r="O92" s="22">
        <v>1140.4700182114655</v>
      </c>
      <c r="P92" s="22">
        <v>1365.9445997281484</v>
      </c>
      <c r="U92" s="20">
        <v>13</v>
      </c>
      <c r="V92" s="20">
        <v>1.0403264528547962</v>
      </c>
      <c r="W92" s="20">
        <v>0.68628638867910619</v>
      </c>
      <c r="X92" s="20">
        <v>0.22667919773939652</v>
      </c>
      <c r="Y92" s="20">
        <v>2.007083808391847E-2</v>
      </c>
      <c r="Z92" s="20">
        <v>87.389903497428676</v>
      </c>
      <c r="AA92" s="21">
        <v>155.77519651998023</v>
      </c>
    </row>
    <row r="93" spans="11:30" x14ac:dyDescent="0.3">
      <c r="K93" s="20">
        <v>8</v>
      </c>
      <c r="L93" s="22">
        <v>2376.1495903687301</v>
      </c>
      <c r="M93" s="22">
        <v>116.35555867081528</v>
      </c>
      <c r="N93" s="22">
        <v>993.11276307734374</v>
      </c>
      <c r="O93" s="22">
        <v>1109.468321748159</v>
      </c>
      <c r="P93" s="22">
        <v>1266.681268620571</v>
      </c>
      <c r="U93" s="20">
        <v>14</v>
      </c>
      <c r="V93" s="20">
        <v>0.94132630151564234</v>
      </c>
      <c r="W93" s="20">
        <v>0.41903269285245104</v>
      </c>
      <c r="X93" s="20">
        <v>0.29359379086559528</v>
      </c>
      <c r="Y93" s="20">
        <v>2.1459823511600334E-2</v>
      </c>
      <c r="Z93" s="20">
        <v>88.569866136473706</v>
      </c>
      <c r="AA93" s="21">
        <v>164.92645115217661</v>
      </c>
    </row>
    <row r="94" spans="11:30" x14ac:dyDescent="0.3">
      <c r="K94" s="20">
        <v>9</v>
      </c>
      <c r="L94" s="22">
        <v>2255.7047593551656</v>
      </c>
      <c r="M94" s="22">
        <v>94.207477648786934</v>
      </c>
      <c r="N94" s="22">
        <v>989.66516881363509</v>
      </c>
      <c r="O94" s="22">
        <v>1083.8726464624219</v>
      </c>
      <c r="P94" s="22">
        <v>1171.8321128927437</v>
      </c>
      <c r="U94" s="20">
        <v>15</v>
      </c>
      <c r="V94" s="20">
        <v>0.85174726019275304</v>
      </c>
      <c r="W94" s="20">
        <v>0.28734267435009891</v>
      </c>
      <c r="X94" s="20">
        <v>0.30809372901578497</v>
      </c>
      <c r="Y94" s="20">
        <v>2.1773256513260387E-2</v>
      </c>
      <c r="Z94" s="20">
        <v>83.095485317476218</v>
      </c>
      <c r="AA94" s="21">
        <v>164.49573466235341</v>
      </c>
    </row>
    <row r="95" spans="11:30" x14ac:dyDescent="0.3">
      <c r="K95" s="20">
        <v>10</v>
      </c>
      <c r="L95" s="22">
        <v>2143.8831533823659</v>
      </c>
      <c r="M95" s="22">
        <v>76.401979637034884</v>
      </c>
      <c r="N95" s="22">
        <v>986.18815443818164</v>
      </c>
      <c r="O95" s="22">
        <v>1062.5901340752166</v>
      </c>
      <c r="P95" s="22">
        <v>1081.2930193071493</v>
      </c>
      <c r="U95" s="20">
        <v>16</v>
      </c>
      <c r="V95" s="20">
        <v>0.77069279173201333</v>
      </c>
      <c r="W95" s="20">
        <v>0.2121939977993213</v>
      </c>
      <c r="X95" s="20">
        <v>0.3152545057701539</v>
      </c>
      <c r="Y95" s="20">
        <v>2.1929729507840619E-2</v>
      </c>
      <c r="Z95" s="20">
        <v>75.997295758862805</v>
      </c>
      <c r="AA95" s="21">
        <v>158.58227796392788</v>
      </c>
    </row>
    <row r="96" spans="11:30" x14ac:dyDescent="0.3">
      <c r="K96" s="20">
        <v>11</v>
      </c>
      <c r="L96" s="22">
        <v>2039.5754848550318</v>
      </c>
      <c r="M96" s="22">
        <v>62.067967226529369</v>
      </c>
      <c r="N96" s="22">
        <v>982.68155742751105</v>
      </c>
      <c r="O96" s="22">
        <v>1044.7495246540404</v>
      </c>
      <c r="P96" s="22">
        <v>994.8259602009914</v>
      </c>
      <c r="U96" s="20">
        <v>17</v>
      </c>
      <c r="V96" s="20">
        <v>0.69735167576972035</v>
      </c>
      <c r="W96" s="20">
        <v>0.16490008174364287</v>
      </c>
      <c r="X96" s="20">
        <v>0.32095753980156572</v>
      </c>
      <c r="Y96" s="20">
        <v>2.2055152808253774E-2</v>
      </c>
      <c r="Z96" s="20">
        <v>68.457674403814607</v>
      </c>
      <c r="AA96" s="21">
        <v>149.43104402310539</v>
      </c>
    </row>
    <row r="97" spans="11:27" x14ac:dyDescent="0.3">
      <c r="K97" s="20">
        <v>12</v>
      </c>
      <c r="L97" s="22">
        <v>1941.7491834669352</v>
      </c>
      <c r="M97" s="22">
        <v>85.047173652859797</v>
      </c>
      <c r="N97" s="22">
        <v>1069.2765739885826</v>
      </c>
      <c r="O97" s="22">
        <v>1154.3237476414424</v>
      </c>
      <c r="P97" s="22">
        <v>787.42543582549274</v>
      </c>
      <c r="U97" s="20">
        <v>18</v>
      </c>
      <c r="V97" s="20">
        <v>0.63098988976652337</v>
      </c>
      <c r="W97" s="20">
        <v>0.13296812814394476</v>
      </c>
      <c r="X97" s="20">
        <v>0.32643803437122265</v>
      </c>
      <c r="Y97" s="20">
        <v>2.2176357781677609E-2</v>
      </c>
      <c r="Z97" s="20">
        <v>60.999732117154579</v>
      </c>
      <c r="AA97" s="21">
        <v>138.55281562259128</v>
      </c>
    </row>
    <row r="98" spans="11:27" x14ac:dyDescent="0.3">
      <c r="K98" s="20">
        <v>13</v>
      </c>
      <c r="L98" s="22">
        <v>1849.4382109418782</v>
      </c>
      <c r="M98" s="22">
        <v>155.77519651998023</v>
      </c>
      <c r="N98" s="22">
        <v>1495.7853883673861</v>
      </c>
      <c r="O98" s="22">
        <v>1651.5605848873663</v>
      </c>
      <c r="P98" s="22">
        <v>197.87762605451189</v>
      </c>
      <c r="U98" s="20">
        <v>19</v>
      </c>
      <c r="V98" s="20">
        <v>0.57094326266313578</v>
      </c>
      <c r="W98" s="20">
        <v>0.1102314836333142</v>
      </c>
      <c r="X98" s="20">
        <v>0.3320249159979588</v>
      </c>
      <c r="Y98" s="20">
        <v>2.2300601211012391E-2</v>
      </c>
      <c r="Z98" s="20">
        <v>53.905433053399669</v>
      </c>
      <c r="AA98" s="21">
        <v>126.97512600498023</v>
      </c>
    </row>
    <row r="99" spans="11:27" x14ac:dyDescent="0.3">
      <c r="K99" s="20">
        <v>14</v>
      </c>
      <c r="L99" s="22">
        <v>1761.7335565663268</v>
      </c>
      <c r="M99" s="22">
        <v>164.92645115217661</v>
      </c>
      <c r="N99" s="22">
        <v>1899.8614407722207</v>
      </c>
      <c r="O99" s="22">
        <v>2064.7878919243972</v>
      </c>
      <c r="P99" s="22">
        <v>-303.05433535807038</v>
      </c>
      <c r="U99" s="20">
        <v>20</v>
      </c>
      <c r="V99" s="20">
        <v>0.51661082763313848</v>
      </c>
      <c r="W99" s="20">
        <v>9.3353138809517441E-2</v>
      </c>
      <c r="X99" s="20">
        <v>0.33781932542471621</v>
      </c>
      <c r="Y99" s="20">
        <v>2.2430195122387992E-2</v>
      </c>
      <c r="Z99" s="20">
        <v>47.326882733026252</v>
      </c>
      <c r="AA99" s="21">
        <v>115.38361819810369</v>
      </c>
    </row>
    <row r="100" spans="11:27" x14ac:dyDescent="0.3">
      <c r="K100" s="20">
        <v>15</v>
      </c>
      <c r="L100" s="22">
        <v>1677.7743198814239</v>
      </c>
      <c r="M100" s="22">
        <v>164.49573466235341</v>
      </c>
      <c r="N100" s="22">
        <v>2283.349265956318</v>
      </c>
      <c r="O100" s="22">
        <v>2447.8450006186713</v>
      </c>
      <c r="P100" s="22">
        <v>-770.07068073724736</v>
      </c>
    </row>
    <row r="101" spans="11:27" x14ac:dyDescent="0.3">
      <c r="K101" s="20">
        <v>16</v>
      </c>
      <c r="L101" s="22">
        <v>1596.7392929277587</v>
      </c>
      <c r="M101" s="22">
        <v>158.58227796392788</v>
      </c>
      <c r="N101" s="22">
        <v>2648.2857692143684</v>
      </c>
      <c r="O101" s="22">
        <v>2806.8680471782964</v>
      </c>
      <c r="P101" s="22">
        <v>-1210.1287542505377</v>
      </c>
    </row>
    <row r="102" spans="11:27" x14ac:dyDescent="0.3">
      <c r="K102" s="20">
        <v>17</v>
      </c>
      <c r="L102" s="22">
        <v>1517.8389596000261</v>
      </c>
      <c r="M102" s="22">
        <v>149.43104402310539</v>
      </c>
      <c r="N102" s="22">
        <v>2996.7879244333403</v>
      </c>
      <c r="O102" s="22">
        <v>3146.2189684564455</v>
      </c>
      <c r="P102" s="22">
        <v>-1628.3800088564194</v>
      </c>
    </row>
    <row r="103" spans="11:27" x14ac:dyDescent="0.3">
      <c r="K103" s="20">
        <v>18</v>
      </c>
      <c r="L103" s="22">
        <v>1440.3078340237778</v>
      </c>
      <c r="M103" s="22">
        <v>138.55281562259128</v>
      </c>
      <c r="N103" s="22">
        <v>3330.97287896841</v>
      </c>
      <c r="O103" s="22">
        <v>3469.5256945910014</v>
      </c>
      <c r="P103" s="22">
        <v>-2029.2178605672236</v>
      </c>
    </row>
    <row r="104" spans="11:27" x14ac:dyDescent="0.3">
      <c r="K104" s="20">
        <v>19</v>
      </c>
      <c r="L104" s="22">
        <v>1363.3970634580457</v>
      </c>
      <c r="M104" s="22">
        <v>126.97512600498023</v>
      </c>
      <c r="N104" s="22">
        <v>3652.9027450611347</v>
      </c>
      <c r="O104" s="22">
        <v>3779.8778710661149</v>
      </c>
      <c r="P104" s="22">
        <v>-2416.480807608069</v>
      </c>
    </row>
    <row r="105" spans="11:27" x14ac:dyDescent="0.3">
      <c r="K105" s="20">
        <v>20</v>
      </c>
      <c r="L105" s="22">
        <v>1286.3672240934779</v>
      </c>
      <c r="M105" s="23">
        <v>115.38361819810369</v>
      </c>
      <c r="N105" s="23">
        <v>3964.5480378935349</v>
      </c>
      <c r="O105" s="23">
        <v>4079.9316560916386</v>
      </c>
      <c r="P105" s="23">
        <v>-2793.5644319981607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Sheet-1 Gas deliverability</vt:lpstr>
      <vt:lpstr>Sheet-2 FTHP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Adapa mohan naga sai rajesh</dc:creator>
  <cp:lastModifiedBy>Adapa mohan naga sai rajesh</cp:lastModifiedBy>
  <dcterms:created xsi:type="dcterms:W3CDTF">2026-09-20T13:33:02Z</dcterms:created>
  <dcterms:modified xsi:type="dcterms:W3CDTF">2026-09-20T13:38:37Z</dcterms:modified>
</cp:coreProperties>
</file>